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  <sheet name="План лагеря" sheetId="2" state="visible" r:id="rId4"/>
    <sheet name="Чек-лист подготовк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<sst xmlns="http://schemas.openxmlformats.org/spreadsheetml/2006/main" count="613" uniqueCount="382">
  <si>
    <t xml:space="preserve">СМЕТА — TechnoCamp CubeSat, 19–20 сентября 2026</t>
  </si>
  <si>
    <t xml:space="preserve">Плата campv2 (80×80 мм, 2 слоя) · 25 учеников · 25 CubeSat · 30 плат · 2 дня по 6–7 ч · 1 преподаватель + 3 ассистента</t>
  </si>
  <si>
    <t xml:space="preserve">Все цены в USD. Цены JLCPCB — живая котировка jlcpcb.com от 08.09.2026. Остальные цены — оценка розничного рынка Ташкента на сентябрь 2026; уточните у поставщика.</t>
  </si>
  <si>
    <t xml:space="preserve">ПАРАМЕТРЫ (жёлтые ячейки можно менять — количества пересчитаются)</t>
  </si>
  <si>
    <t xml:space="preserve">Учеников (= CubeSat)</t>
  </si>
  <si>
    <t xml:space="preserve">Плат заказываем</t>
  </si>
  <si>
    <t xml:space="preserve">Паяльных станций</t>
  </si>
  <si>
    <t xml:space="preserve">Дней лагеря</t>
  </si>
  <si>
    <t xml:space="preserve">Часов в день</t>
  </si>
  <si>
    <t xml:space="preserve">№</t>
  </si>
  <si>
    <t xml:space="preserve">Позиция</t>
  </si>
  <si>
    <t xml:space="preserve">Зачем нужно</t>
  </si>
  <si>
    <t xml:space="preserve">Кол-во</t>
  </si>
  <si>
    <t xml:space="preserve">Ед.</t>
  </si>
  <si>
    <t xml:space="preserve">Цена, $</t>
  </si>
  <si>
    <t xml:space="preserve">Сумма, $</t>
  </si>
  <si>
    <t xml:space="preserve">Статус</t>
  </si>
  <si>
    <t xml:space="preserve">Где брать</t>
  </si>
  <si>
    <t xml:space="preserve">Примечание</t>
  </si>
  <si>
    <t xml:space="preserve">A. ПЕЧАТНЫЕ ПЛАТЫ — JLCPCB</t>
  </si>
  <si>
    <t xml:space="preserve">Изготовление 30 плат 80×80 мм, 2 слоя, FR-4, HASL, зелёная</t>
  </si>
  <si>
    <t xml:space="preserve">Основа CubeSat</t>
  </si>
  <si>
    <t xml:space="preserve">1</t>
  </si>
  <si>
    <t xml:space="preserve">заказ</t>
  </si>
  <si>
    <t xml:space="preserve">Купить</t>
  </si>
  <si>
    <t xml:space="preserve">JLCPCB</t>
  </si>
  <si>
    <t xml:space="preserve">Котировка на 50 шт от 08.09.2026: инж. сбор $8.00 + плёнки $1.80 + платы $23.70 = $33.50. Для 30 шт немного меньше</t>
  </si>
  <si>
    <t xml:space="preserve">Ускорение производства до 2–3 дней</t>
  </si>
  <si>
    <t xml:space="preserve">Иначе платы не успевают к 19 сентября</t>
  </si>
  <si>
    <t xml:space="preserve">опция</t>
  </si>
  <si>
    <t xml:space="preserve">КРИТИЧНО. Стандартный срок 5–6 дней даёт прибытие 17–21 сентября — риск</t>
  </si>
  <si>
    <t xml:space="preserve">Доставка DHL Express (DDP) до Ташкента, ~1 кг</t>
  </si>
  <si>
    <t xml:space="preserve">2–4 рабочих дня</t>
  </si>
  <si>
    <t xml:space="preserve">доставка</t>
  </si>
  <si>
    <t xml:space="preserve">Сайт сам определил Узбекистан как страну доставки</t>
  </si>
  <si>
    <t xml:space="preserve">Купон новичка JLCPCB</t>
  </si>
  <si>
    <t xml:space="preserve">Скидка при первом заказе</t>
  </si>
  <si>
    <t xml:space="preserve">скидка</t>
  </si>
  <si>
    <t xml:space="preserve">Применяется, если аккаунт новый. Если нет — уберите строку</t>
  </si>
  <si>
    <t xml:space="preserve">Итого по разделу «A»</t>
  </si>
  <si>
    <t xml:space="preserve">B. КОМПОНЕНТЫ НА ПЛАТУ (на 30 плат + запас)</t>
  </si>
  <si>
    <t xml:space="preserve">Arduino Nano V3, CH340/CH9102, распаянный</t>
  </si>
  <si>
    <t xml:space="preserve">Мозг CubeSat, 1 на плату</t>
  </si>
  <si>
    <t xml:space="preserve">шт</t>
  </si>
  <si>
    <t xml:space="preserve">Ташкент, радиорынок</t>
  </si>
  <si>
    <t xml:space="preserve">+5 в запас: новички их убивают перегревом и переполюсовкой</t>
  </si>
  <si>
    <t xml:space="preserve">Гребёнка-мама PBS 1×40 (режется на 2 шт по 15)</t>
  </si>
  <si>
    <t xml:space="preserve">Панельки под Nano — съёмный и защищён от перегрева</t>
  </si>
  <si>
    <t xml:space="preserve">Ташкент</t>
  </si>
  <si>
    <t xml:space="preserve">ОБЯЗАТЕЛЬНО. Заливка +5V идёт по всей лицевой стороне под Nano — прямая пайка рискует замыканием</t>
  </si>
  <si>
    <t xml:space="preserve">Резистор 220 Ом, 0.25 Вт, выводной</t>
  </si>
  <si>
    <t xml:space="preserve">Токоограничение RGB, 6 шт на плату</t>
  </si>
  <si>
    <t xml:space="preserve">250</t>
  </si>
  <si>
    <t xml:space="preserve">30 плат × 6 = 180 + запас на потери</t>
  </si>
  <si>
    <t xml:space="preserve">Кнопка тактовая 6×6×5 мм, 4 вывода</t>
  </si>
  <si>
    <t xml:space="preserve">SW1–SW3, переключение экранов</t>
  </si>
  <si>
    <t xml:space="preserve">110</t>
  </si>
  <si>
    <t xml:space="preserve">30 × 3 = 90 + запас</t>
  </si>
  <si>
    <t xml:space="preserve">RGB светодиод 5 мм, 4 вывода, ОБЩИЙ КАТОД</t>
  </si>
  <si>
    <t xml:space="preserve">LED2/LED3 — индикация температуры и CO</t>
  </si>
  <si>
    <t xml:space="preserve">75</t>
  </si>
  <si>
    <t xml:space="preserve">ТОЛЬКО общий катод. Код рассчитан на него (проверено по даташиту LCSC C2837020). Общий анод даст инверсию цветов</t>
  </si>
  <si>
    <t xml:space="preserve">Панелька PBS 1×4</t>
  </si>
  <si>
    <t xml:space="preserve">Гнездо под RGB — светодиод съёмный</t>
  </si>
  <si>
    <t xml:space="preserve">70</t>
  </si>
  <si>
    <t xml:space="preserve">Так задумано в футпринте платы</t>
  </si>
  <si>
    <t xml:space="preserve">Гребёнка-папа PLS 1×40 (режется на J2–J5)</t>
  </si>
  <si>
    <t xml:space="preserve">Разъёмы датчиков и LCD, 14 контактов на плату</t>
  </si>
  <si>
    <t xml:space="preserve">15</t>
  </si>
  <si>
    <t xml:space="preserve">30 плат × 14 = 420 контактов ≈ 11 полосок + запас</t>
  </si>
  <si>
    <t xml:space="preserve">Клеммник винтовой DG301, шаг 5 мм, 2 контакта</t>
  </si>
  <si>
    <t xml:space="preserve">U1 — вход питания</t>
  </si>
  <si>
    <t xml:space="preserve">35</t>
  </si>
  <si>
    <t xml:space="preserve">На плате стоит с ОБРАТНОЙ стороны — проверьте, что это так задумано</t>
  </si>
  <si>
    <t xml:space="preserve">Джампер-перемычка 2.54 мм</t>
  </si>
  <si>
    <t xml:space="preserve">J5: подключает общий вывод RGB к GND</t>
  </si>
  <si>
    <t xml:space="preserve">40</t>
  </si>
  <si>
    <t xml:space="preserve">Легко забыть при закупке. Без неё светодиоды просто не горят</t>
  </si>
  <si>
    <t xml:space="preserve">Стойка латунная M3×10 + винт M3×6</t>
  </si>
  <si>
    <t xml:space="preserve">Крепёж платы к корпусу, 4 комплекта на плату</t>
  </si>
  <si>
    <t xml:space="preserve">120</t>
  </si>
  <si>
    <t xml:space="preserve">компл</t>
  </si>
  <si>
    <t xml:space="preserve">Отверстия на плате 3.2 мм под M3</t>
  </si>
  <si>
    <t xml:space="preserve">Итого по разделу «B»</t>
  </si>
  <si>
    <t xml:space="preserve">C. ВНЕШНИЕ МОДУЛИ (на 25 CubeSat + запас)</t>
  </si>
  <si>
    <t xml:space="preserve">LCD 1602 + плата I2C (PCF8574)</t>
  </si>
  <si>
    <t xml:space="preserve">Экран CubeSat, подключается к J3</t>
  </si>
  <si>
    <t xml:space="preserve">I2C-адрес 0x27 или 0x3F — в коде есть переключатель LCD_ADDRESS</t>
  </si>
  <si>
    <t xml:space="preserve">Модуль DHT11, 3-выводной</t>
  </si>
  <si>
    <t xml:space="preserve">Температура и влажность, к J2</t>
  </si>
  <si>
    <t xml:space="preserve">ПРОВЕРИТЬ порядок выводов: плата ждёт 5V–DATA–GND, у части модулей S–+–−</t>
  </si>
  <si>
    <t xml:space="preserve">Модуль MQ-7 (угарный газ)</t>
  </si>
  <si>
    <t xml:space="preserve">Датчик CO, к J4</t>
  </si>
  <si>
    <t xml:space="preserve">Нагреватель ест ~150 мА. Нужен прогрев 24–48 ч до калибровки — включите за день до лагеря</t>
  </si>
  <si>
    <t xml:space="preserve">Провода Dupont мама-мама 20 см, набор 40 шт</t>
  </si>
  <si>
    <t xml:space="preserve">Подключение модулей, 11 проводов на CubeSat</t>
  </si>
  <si>
    <t xml:space="preserve">12</t>
  </si>
  <si>
    <t xml:space="preserve">набор</t>
  </si>
  <si>
    <t xml:space="preserve">25 CubeSat × 11 = 275 проводов</t>
  </si>
  <si>
    <t xml:space="preserve">Итого по разделу «C»</t>
  </si>
  <si>
    <t xml:space="preserve">D. КОРПУС CUBESAT (лазерная резка, фанера 3–4 мм)</t>
  </si>
  <si>
    <t xml:space="preserve">Лазерная резка: комплект деталей корпуса на 1 CubeSat</t>
  </si>
  <si>
    <t xml:space="preserve">Каркас спутника</t>
  </si>
  <si>
    <t xml:space="preserve">Резчик в Ташкенте</t>
  </si>
  <si>
    <t xml:space="preserve">Механики в проекте пока нет — макет надо нарисовать до лагеря. Учтите вырез под USB: Nano выступает за край платы на 2.7 мм</t>
  </si>
  <si>
    <t xml:space="preserve">Фанера 3 мм, лист 600×600 мм</t>
  </si>
  <si>
    <t xml:space="preserve">Материал под резку</t>
  </si>
  <si>
    <t xml:space="preserve">8</t>
  </si>
  <si>
    <t xml:space="preserve">лист</t>
  </si>
  <si>
    <t xml:space="preserve">Строительный рынок</t>
  </si>
  <si>
    <t xml:space="preserve">Если резчик работает по давальческому материалу. Иначе входит в цену резки</t>
  </si>
  <si>
    <t xml:space="preserve">Термоклеевой пистолет</t>
  </si>
  <si>
    <t xml:space="preserve">Сборка корпуса</t>
  </si>
  <si>
    <t xml:space="preserve">4</t>
  </si>
  <si>
    <t xml:space="preserve">Стержни термоклея 11 мм</t>
  </si>
  <si>
    <t xml:space="preserve">Расходник</t>
  </si>
  <si>
    <t xml:space="preserve">Наждачная бумага P180/P240</t>
  </si>
  <si>
    <t xml:space="preserve">Зачистка кромок фанеры после резки</t>
  </si>
  <si>
    <t xml:space="preserve">20</t>
  </si>
  <si>
    <t xml:space="preserve">Итого по разделу «D»</t>
  </si>
  <si>
    <t xml:space="preserve">E. ПАЯЛЬНОЕ ОБОРУДОВАНИЕ (12 станций)</t>
  </si>
  <si>
    <t xml:space="preserve">Паяльная станция с регулировкой температуры, 60 Вт</t>
  </si>
  <si>
    <t xml:space="preserve">12 станций = 2 волны по 12–13 учеников</t>
  </si>
  <si>
    <t xml:space="preserve">ОБЯЗАТЕЛЬНО с регулировкой. Без неё новички отрывают пятаки и жгут Nano. 3 ассистента × 4 станции — правильная плотность присмотра</t>
  </si>
  <si>
    <t xml:space="preserve">Жало сменное, конус / скос 2 мм</t>
  </si>
  <si>
    <t xml:space="preserve">Расходник, 2 на станцию</t>
  </si>
  <si>
    <t xml:space="preserve">24</t>
  </si>
  <si>
    <t xml:space="preserve">За 2 дня новички гарантированно испортят несколько</t>
  </si>
  <si>
    <t xml:space="preserve">Коврик силиконовый термостойкий</t>
  </si>
  <si>
    <t xml:space="preserve">Защита столов</t>
  </si>
  <si>
    <t xml:space="preserve">«Третья рука» с лупой</t>
  </si>
  <si>
    <t xml:space="preserve">Держать плату при пайке</t>
  </si>
  <si>
    <t xml:space="preserve">Сильно ускоряет новичка</t>
  </si>
  <si>
    <t xml:space="preserve">Бокорезы</t>
  </si>
  <si>
    <t xml:space="preserve">Откусывание выводов после пайки</t>
  </si>
  <si>
    <t xml:space="preserve">Пинцет прямой</t>
  </si>
  <si>
    <t xml:space="preserve">Установка мелких деталей</t>
  </si>
  <si>
    <t xml:space="preserve">Держатель печатной платы</t>
  </si>
  <si>
    <t xml:space="preserve">Фиксация при пайке</t>
  </si>
  <si>
    <t xml:space="preserve">6</t>
  </si>
  <si>
    <t xml:space="preserve">Итого по разделу «E»</t>
  </si>
  <si>
    <t xml:space="preserve">F. РАСХОДНИКИ ПАЙКИ</t>
  </si>
  <si>
    <t xml:space="preserve">Припой Sn60Pb40, 0.8 мм, с канифолью, 250 г</t>
  </si>
  <si>
    <t xml:space="preserve">Основной расходник</t>
  </si>
  <si>
    <t xml:space="preserve">3</t>
  </si>
  <si>
    <t xml:space="preserve">катушка</t>
  </si>
  <si>
    <t xml:space="preserve">Расчёт: 25 плат × 78 точек ≈ 2000 точек × ~0.1 г + тренировка + переделки ≈ 500–750 г</t>
  </si>
  <si>
    <t xml:space="preserve">Флюс-гель (или канифоль)</t>
  </si>
  <si>
    <t xml:space="preserve">Смачиваемость, чистая пайка</t>
  </si>
  <si>
    <t xml:space="preserve">Оплётка для выпайки, 2 мм</t>
  </si>
  <si>
    <t xml:space="preserve">Снятие соплей и перемычек</t>
  </si>
  <si>
    <t xml:space="preserve">Понадобится точно: ждите 20–30% плат с ошибками</t>
  </si>
  <si>
    <t xml:space="preserve">Отсос для припоя (оловоотсос)</t>
  </si>
  <si>
    <t xml:space="preserve">Исправление ошибок</t>
  </si>
  <si>
    <t xml:space="preserve">Изопропиловый спирт 500 мл + кисти</t>
  </si>
  <si>
    <t xml:space="preserve">Отмывка флюса перед проверкой</t>
  </si>
  <si>
    <t xml:space="preserve">2</t>
  </si>
  <si>
    <t xml:space="preserve">Салфетки безворсовые</t>
  </si>
  <si>
    <t xml:space="preserve">Отмывка</t>
  </si>
  <si>
    <t xml:space="preserve">упак</t>
  </si>
  <si>
    <t xml:space="preserve">Макетная плата-обрезок для тренировки</t>
  </si>
  <si>
    <t xml:space="preserve">20 минут тренировки перед реальной платой</t>
  </si>
  <si>
    <t xml:space="preserve">25</t>
  </si>
  <si>
    <t xml:space="preserve">Ученик не должен учиться паять на своей единственной плате</t>
  </si>
  <si>
    <t xml:space="preserve">Набор «учусь паять» (мигающий светодиод)</t>
  </si>
  <si>
    <t xml:space="preserve">Быстрая победа до реальной платы</t>
  </si>
  <si>
    <t xml:space="preserve">Ташкент / AliExpress</t>
  </si>
  <si>
    <t xml:space="preserve">Опционально, но сильно поднимает уверенность новичка</t>
  </si>
  <si>
    <t xml:space="preserve">Итого по разделу «F»</t>
  </si>
  <si>
    <t xml:space="preserve">G. КОНТРОЛЬ И ИЗМЕРЕНИЯ (станция ОТК)</t>
  </si>
  <si>
    <t xml:space="preserve">Мультиметр цифровой</t>
  </si>
  <si>
    <t xml:space="preserve">ГЛАВНОЕ: прозвонка +5V ↔ GND ДО подачи питания</t>
  </si>
  <si>
    <t xml:space="preserve">5</t>
  </si>
  <si>
    <t xml:space="preserve">Заливка +5V идёт по всей лицевой стороне: любая сопля на полигон = короткое замыкание. Ни одна плата не включается без этой проверки</t>
  </si>
  <si>
    <t xml:space="preserve">USB-тестер тока и напряжения</t>
  </si>
  <si>
    <t xml:space="preserve">Бросок тока сразу показывает КЗ</t>
  </si>
  <si>
    <t xml:space="preserve">Повербанк 5000 мА·ч</t>
  </si>
  <si>
    <t xml:space="preserve">ПЕРВОЕ включение платы — только от него</t>
  </si>
  <si>
    <t xml:space="preserve">Никогда не включать непроверенную плату в порт MacBook</t>
  </si>
  <si>
    <t xml:space="preserve">Лупа настольная с подсветкой</t>
  </si>
  <si>
    <t xml:space="preserve">Осмотр пайки на станции ОТК</t>
  </si>
  <si>
    <t xml:space="preserve">Итого по разделу «G»</t>
  </si>
  <si>
    <t xml:space="preserve">H. КОМПЬЮТЕРЫ И ПЕРИФЕРИЯ</t>
  </si>
  <si>
    <t xml:space="preserve">MacBook Air M5 13"</t>
  </si>
  <si>
    <t xml:space="preserve">KiCAD + Arduino IDE, 1 на ученика</t>
  </si>
  <si>
    <t xml:space="preserve">Есть</t>
  </si>
  <si>
    <t xml:space="preserve">—</t>
  </si>
  <si>
    <t xml:space="preserve">В наличии. Указано справочно, чтобы смета отражала полную стоимость программы</t>
  </si>
  <si>
    <t xml:space="preserve">Переходник USB-C → USB-A</t>
  </si>
  <si>
    <t xml:space="preserve">У MacBook нет USB-A, а Nano подключается через него</t>
  </si>
  <si>
    <t xml:space="preserve">Без них 25 учеников не смогут прошить ни одной платы</t>
  </si>
  <si>
    <t xml:space="preserve">Кабель USB mini-B (или micro-B), 1 м</t>
  </si>
  <si>
    <t xml:space="preserve">Прошивка Nano</t>
  </si>
  <si>
    <t xml:space="preserve">УТОЧНИТЬ тип разъёма на закупленных Nano — бывают и mini, и micro</t>
  </si>
  <si>
    <t xml:space="preserve">USB-хаб на 4 порта</t>
  </si>
  <si>
    <t xml:space="preserve">Станции массовой прошивки</t>
  </si>
  <si>
    <t xml:space="preserve">Проектор или большой экран</t>
  </si>
  <si>
    <t xml:space="preserve">Разбор схемы и демонстрация KiCAD</t>
  </si>
  <si>
    <t xml:space="preserve">Проверить</t>
  </si>
  <si>
    <t xml:space="preserve">Уточните наличие в зале — в смете стоит 0</t>
  </si>
  <si>
    <t xml:space="preserve">Итого по разделу «H»</t>
  </si>
  <si>
    <t xml:space="preserve">I. БЕЗОПАСНОСТЬ</t>
  </si>
  <si>
    <t xml:space="preserve">Дымоуловитель настольный с угольным фильтром</t>
  </si>
  <si>
    <t xml:space="preserve">12 паяльников дают много дыма канифоли</t>
  </si>
  <si>
    <t xml:space="preserve">Общая вентиляция у вас есть, но локальный отсос у паяльных мест нужен отдельно</t>
  </si>
  <si>
    <t xml:space="preserve">Сменные угольные фильтры</t>
  </si>
  <si>
    <t xml:space="preserve">Очки защитные прозрачные</t>
  </si>
  <si>
    <t xml:space="preserve">Обрезки выводов летят в глаза</t>
  </si>
  <si>
    <t xml:space="preserve">30</t>
  </si>
  <si>
    <t xml:space="preserve">Обязательно при откусывании выводов</t>
  </si>
  <si>
    <t xml:space="preserve">Аптечка + гель/спрей от ожогов</t>
  </si>
  <si>
    <t xml:space="preserve">Ожоги о жало — самая частая травма</t>
  </si>
  <si>
    <t xml:space="preserve">Аптека</t>
  </si>
  <si>
    <t xml:space="preserve">Огнетушитель CO2, 2 кг</t>
  </si>
  <si>
    <t xml:space="preserve">Требование безопасности</t>
  </si>
  <si>
    <t xml:space="preserve">Скорее всего есть в помещении — проверьте до лагеря</t>
  </si>
  <si>
    <t xml:space="preserve">Итого по разделу «I»</t>
  </si>
  <si>
    <t xml:space="preserve">J. ОРГАНИЗАЦИЯ И МЕТОДИКА</t>
  </si>
  <si>
    <t xml:space="preserve">Печать инструкции по сборке, A4 цветная, 4 стр.</t>
  </si>
  <si>
    <t xml:space="preserve">Что куда паять, порядок, фото платы</t>
  </si>
  <si>
    <t xml:space="preserve">Типография</t>
  </si>
  <si>
    <t xml:space="preserve">Резко снижает число вопросов к ассистентам</t>
  </si>
  <si>
    <t xml:space="preserve">Zip-пакеты для комплектов по ученику</t>
  </si>
  <si>
    <t xml:space="preserve">Всё для одного CubeSat в одном пакете</t>
  </si>
  <si>
    <t xml:space="preserve">60</t>
  </si>
  <si>
    <t xml:space="preserve">Расфасовка заранее экономит около часа в первый день</t>
  </si>
  <si>
    <t xml:space="preserve">Наклейки для маркировки комплектов</t>
  </si>
  <si>
    <t xml:space="preserve">Имя ученика на пакете и плате</t>
  </si>
  <si>
    <t xml:space="preserve">Органайзер-контейнер для мелочи</t>
  </si>
  <si>
    <t xml:space="preserve">Резисторы, кнопки, светодиоды по ячейкам</t>
  </si>
  <si>
    <t xml:space="preserve">Маркеры, скотч, стяжки, канцелярия</t>
  </si>
  <si>
    <t xml:space="preserve">Прочее</t>
  </si>
  <si>
    <t xml:space="preserve">Итого по разделу «J»</t>
  </si>
  <si>
    <t xml:space="preserve">ИТОГО К ЗАКУПКЕ (только строки со статусом «Купить»)</t>
  </si>
  <si>
    <t xml:space="preserve">Стоимость на одного ученика (закупка)</t>
  </si>
  <si>
    <t xml:space="preserve">Уже в наличии (справочно: ноутбуки, столы, вентиляция, макетки)</t>
  </si>
  <si>
    <t xml:space="preserve">ПОЛНАЯ СТОИМОСТЬ ПРОГРАММЫ (закупка + имеющееся)</t>
  </si>
  <si>
    <t xml:space="preserve">ЛЕГЕНДА: синим на жёлтом — ячейки, которые нужно править (цены и параметры). Чёрным — формулы, их трогать не нужно.</t>
  </si>
  <si>
    <t xml:space="preserve">Статус «Купить» попадает в итог закупки. Статус «Есть» и «Проверить» — нет.</t>
  </si>
  <si>
    <t xml:space="preserve">ПЛАН ЛАГЕРЯ — 19–20 сентября 2026</t>
  </si>
  <si>
    <t xml:space="preserve">РАСЧЁТ УЗКОГО МЕСТА</t>
  </si>
  <si>
    <t xml:space="preserve">Параметр</t>
  </si>
  <si>
    <t xml:space="preserve">Значение</t>
  </si>
  <si>
    <t xml:space="preserve">Откуда</t>
  </si>
  <si>
    <t xml:space="preserve">Комментарий</t>
  </si>
  <si>
    <t xml:space="preserve">Точек пайки на плате</t>
  </si>
  <si>
    <t xml:space="preserve">78</t>
  </si>
  <si>
    <t xml:space="preserve">Посчитано по campv2.kicad_pcb: 82 пятака минус 4 крепёжных отверстия</t>
  </si>
  <si>
    <t xml:space="preserve">из них панельки под Nano</t>
  </si>
  <si>
    <t xml:space="preserve">Две гребёнки 1×15 — 38% всей работы и самая сложная часть</t>
  </si>
  <si>
    <t xml:space="preserve">ПРЕДЛОЖЕНИЕ: припаять их заранее силами взрослых</t>
  </si>
  <si>
    <t xml:space="preserve">Остаётся ученику</t>
  </si>
  <si>
    <t xml:space="preserve">48</t>
  </si>
  <si>
    <t xml:space="preserve">Резисторы, кнопки, панельки RGB, разъёмы, клеммник</t>
  </si>
  <si>
    <t xml:space="preserve">Скорость новичка</t>
  </si>
  <si>
    <t xml:space="preserve">~75 сек/точка</t>
  </si>
  <si>
    <t xml:space="preserve">После 20 минут тренировки, включая подготовку детали и откусывание</t>
  </si>
  <si>
    <t xml:space="preserve">Время на плату</t>
  </si>
  <si>
    <t xml:space="preserve">~70 мин</t>
  </si>
  <si>
    <t xml:space="preserve">48 × 75 сек + осмотр</t>
  </si>
  <si>
    <t xml:space="preserve">Без предпайки панелек было бы ~95 мин</t>
  </si>
  <si>
    <t xml:space="preserve">Всего паяльнико-часов</t>
  </si>
  <si>
    <t xml:space="preserve">~29 ч</t>
  </si>
  <si>
    <t xml:space="preserve">25 учеников × 70 мин</t>
  </si>
  <si>
    <t xml:space="preserve">25 учеников = 2 волны по 12–13</t>
  </si>
  <si>
    <t xml:space="preserve">3 ассистента × 4 станции — правильная плотность присмотра</t>
  </si>
  <si>
    <t xml:space="preserve">Чистое время пайки</t>
  </si>
  <si>
    <t xml:space="preserve">~2.4 ч</t>
  </si>
  <si>
    <t xml:space="preserve">29 ч ÷ 12 станций</t>
  </si>
  <si>
    <t xml:space="preserve">Помещается в 2 дня с большим запасом</t>
  </si>
  <si>
    <t xml:space="preserve">РОЛИ ВЗРОСЛЫХ</t>
  </si>
  <si>
    <t xml:space="preserve">Кто</t>
  </si>
  <si>
    <t xml:space="preserve">Роль</t>
  </si>
  <si>
    <t xml:space="preserve">Отвечает за</t>
  </si>
  <si>
    <t xml:space="preserve">Инструменты</t>
  </si>
  <si>
    <t xml:space="preserve">Вы (ведущий)</t>
  </si>
  <si>
    <t xml:space="preserve">Трек KiCAD + общее ведение</t>
  </si>
  <si>
    <t xml:space="preserve">Теория, разбор схемы, KiCAD, экспорт герберов, тайминг дня</t>
  </si>
  <si>
    <t xml:space="preserve">Проектор, MacBook</t>
  </si>
  <si>
    <t xml:space="preserve">Ассистент 1</t>
  </si>
  <si>
    <t xml:space="preserve">Паяльный этаж, станции 1–6</t>
  </si>
  <si>
    <t xml:space="preserve">Техника пайки, безопасность, помощь по месту</t>
  </si>
  <si>
    <t xml:space="preserve">6 станций</t>
  </si>
  <si>
    <t xml:space="preserve">Ассистент 2</t>
  </si>
  <si>
    <t xml:space="preserve">Паяльный этаж, станции 7–12</t>
  </si>
  <si>
    <t xml:space="preserve">То же</t>
  </si>
  <si>
    <t xml:space="preserve">Ассистент 3</t>
  </si>
  <si>
    <t xml:space="preserve">СТАНЦИЯ ОТК</t>
  </si>
  <si>
    <t xml:space="preserve">Проверяет КАЖДУЮ плату до подачи питания. Ведёт список переделок</t>
  </si>
  <si>
    <t xml:space="preserve">Мультиметр, лупа, повербанк, оплётка, отсос</t>
  </si>
  <si>
    <t xml:space="preserve">ПРАВИЛО №1: ни одна плата не включается до прозвонки +5V ↔ GND на станции ОТК. Заливка +5V идёт по всей лицевой стороне — любая сопля на полигон даёт короткое замыкание. Первое включение — только от повербанка, никогда не от MacBook.</t>
  </si>
  <si>
    <t xml:space="preserve">ДЕНЬ 1 — суббота 19 сентября (6.5 ч)</t>
  </si>
  <si>
    <t xml:space="preserve">Время</t>
  </si>
  <si>
    <t xml:space="preserve">Основное</t>
  </si>
  <si>
    <t xml:space="preserve">Параллельно</t>
  </si>
  <si>
    <t xml:space="preserve">0:00–0:40</t>
  </si>
  <si>
    <t xml:space="preserve">ВСЕ</t>
  </si>
  <si>
    <t xml:space="preserve">Открытие. Что такое CubeSat, разбор схемы на проекторе, показ готового образца</t>
  </si>
  <si>
    <t xml:space="preserve">0:40–1:00</t>
  </si>
  <si>
    <t xml:space="preserve">Техника безопасности + демо пайки у одного стола</t>
  </si>
  <si>
    <t xml:space="preserve">1:00–3:15</t>
  </si>
  <si>
    <t xml:space="preserve">Волна 1</t>
  </si>
  <si>
    <t xml:space="preserve">Группа A (12 чел): 20 мин тренировка на обрезках + 70 мин плата</t>
  </si>
  <si>
    <t xml:space="preserve">Группа B (13 чел): KiCAD — схема, символы, цепи</t>
  </si>
  <si>
    <t xml:space="preserve">3:15–4:00</t>
  </si>
  <si>
    <t xml:space="preserve">Обед</t>
  </si>
  <si>
    <t xml:space="preserve">4:00–6:15</t>
  </si>
  <si>
    <t xml:space="preserve">Волна 2</t>
  </si>
  <si>
    <t xml:space="preserve">Группа B (13 чел): пайка</t>
  </si>
  <si>
    <t xml:space="preserve">Группа A (12 чел): KiCAD — разводка платы, экспорт герберов</t>
  </si>
  <si>
    <t xml:space="preserve">6:15–6:30</t>
  </si>
  <si>
    <t xml:space="preserve">Сдача плат на ОТК, итоги дня, список переделок на завтра</t>
  </si>
  <si>
    <t xml:space="preserve">ДЕНЬ 2 — воскресенье 20 сентября (6.5 ч)</t>
  </si>
  <si>
    <t xml:space="preserve">0:00–0:45</t>
  </si>
  <si>
    <t xml:space="preserve">Разбор ошибок с ОТК, переделка проблемных плат (обычно 20–30%)</t>
  </si>
  <si>
    <t xml:space="preserve">Ассистенты 1–3 на переделках</t>
  </si>
  <si>
    <t xml:space="preserve">0:45–2:15</t>
  </si>
  <si>
    <t xml:space="preserve">Прошивка: подключение LCD/DHT11/MQ-7, заливка CubeSat.ino, отладка</t>
  </si>
  <si>
    <t xml:space="preserve">25 MacBook — идёт одной волной</t>
  </si>
  <si>
    <t xml:space="preserve">2:15–2:30</t>
  </si>
  <si>
    <t xml:space="preserve">Перерыв</t>
  </si>
  <si>
    <t xml:space="preserve">2:30–4:15</t>
  </si>
  <si>
    <t xml:space="preserve">Сборка корпуса CubeSat из фанеры, установка платы на стойки</t>
  </si>
  <si>
    <t xml:space="preserve">Термоклей, наждачка</t>
  </si>
  <si>
    <t xml:space="preserve">4:15–5:00</t>
  </si>
  <si>
    <t xml:space="preserve">5:00–6:00</t>
  </si>
  <si>
    <t xml:space="preserve">Финальная интеграция, калибровка MQ-7, тесты</t>
  </si>
  <si>
    <t xml:space="preserve">6:00–6:30</t>
  </si>
  <si>
    <t xml:space="preserve">Демонстрация проектов, фото, закрытие</t>
  </si>
  <si>
    <t xml:space="preserve">ЧЕК-ЛИСТ ПОДГОТОВКИ — до 19 сентября</t>
  </si>
  <si>
    <t xml:space="preserve">Отмечайте «Готово» в колонке C. Порядок — по срочности.</t>
  </si>
  <si>
    <t xml:space="preserve">Что сделать</t>
  </si>
  <si>
    <t xml:space="preserve">Срок</t>
  </si>
  <si>
    <t xml:space="preserve">Почему это важно</t>
  </si>
  <si>
    <t xml:space="preserve">Исправить шелкографию: подписи выводов J2/J3/J4/J5, маркер 1-го вывода</t>
  </si>
  <si>
    <t xml:space="preserve">9 сентября</t>
  </si>
  <si>
    <t xml:space="preserve">Вы</t>
  </si>
  <si>
    <t xml:space="preserve">Без подписей 25 новичков перепутают подключение датчиков</t>
  </si>
  <si>
    <t xml:space="preserve">Перенести метки «+»/«−» клеммника со слоя F.Cu на B.SilkS</t>
  </si>
  <si>
    <t xml:space="preserve">Сейчас они на слое меди и не видны под маской. Переполюсовка = мёртвый Nano</t>
  </si>
  <si>
    <t xml:space="preserve">Проверить, что U1 (клеммник) на обратной стороне — это задумано</t>
  </si>
  <si>
    <t xml:space="preserve">Все остальные компоненты на лицевой стороне</t>
  </si>
  <si>
    <t xml:space="preserve">Экспортировать герберы (Plot → Gerber + Drill Files), упаковать в zip</t>
  </si>
  <si>
    <t xml:space="preserve">В production/ сейчас только PDF</t>
  </si>
  <si>
    <t xml:space="preserve">ЗАКАЗАТЬ 30 плат на JLCPCB с ускорением 2–3 дня</t>
  </si>
  <si>
    <t xml:space="preserve">КРИТИЧЕСКИЙ ПУТЬ. Стандартный срок не успевает к 19-му</t>
  </si>
  <si>
    <t xml:space="preserve">Проверить один Arduino Nano на одном MacBook: драйвер CH340/CH9102, Old Bootloader</t>
  </si>
  <si>
    <t xml:space="preserve">10 сентября</t>
  </si>
  <si>
    <t xml:space="preserve">Если не заведётся — будет неделя на решение, а не 25 злых учеников</t>
  </si>
  <si>
    <t xml:space="preserve">Уточнить тип USB-разъёма на закупаемых Nano (mini-B или micro-B)</t>
  </si>
  <si>
    <t xml:space="preserve">Кабели надо купить под него</t>
  </si>
  <si>
    <t xml:space="preserve">Купить RGB-светодиоды — ТОЛЬКО общий катод</t>
  </si>
  <si>
    <t xml:space="preserve">10–12 сентября</t>
  </si>
  <si>
    <t xml:space="preserve">Общий анод даст инверсию цветов, код придётся переписывать</t>
  </si>
  <si>
    <t xml:space="preserve">Проверить порядок выводов реального модуля DHT11 против платы (5V–DATA–GND)</t>
  </si>
  <si>
    <t xml:space="preserve">Обратный порядок сожжёт модуль</t>
  </si>
  <si>
    <t xml:space="preserve">Закупить компоненты и модули по разделам B и C</t>
  </si>
  <si>
    <t xml:space="preserve">10–14 сентября</t>
  </si>
  <si>
    <t xml:space="preserve">Основная закупка</t>
  </si>
  <si>
    <t xml:space="preserve">Закупить 12 паяльных станций и расходники (разделы E, F)</t>
  </si>
  <si>
    <t xml:space="preserve">Сейчас паяльников нет ни одного</t>
  </si>
  <si>
    <t xml:space="preserve">Нарисовать макет корпуса CubeSat под лазерную резку</t>
  </si>
  <si>
    <t xml:space="preserve">Механики в проекте нет. Не забыть вырез под USB: Nano выступает за край платы на 2.7 мм</t>
  </si>
  <si>
    <t xml:space="preserve">Отдать корпуса в резку (28 комплектов)</t>
  </si>
  <si>
    <t xml:space="preserve">14 сентября</t>
  </si>
  <si>
    <t xml:space="preserve">Нужен запас времени у резчика</t>
  </si>
  <si>
    <t xml:space="preserve">Получить платы от DHL, проверить визуально 2–3 штуки</t>
  </si>
  <si>
    <t xml:space="preserve">15–17 сентября</t>
  </si>
  <si>
    <t xml:space="preserve">Собрать и прошить одну эталонную плату целиком</t>
  </si>
  <si>
    <t xml:space="preserve">17 сентября</t>
  </si>
  <si>
    <t xml:space="preserve">Пока не собрана ни одна — в лагере вылезут сюрпризы</t>
  </si>
  <si>
    <t xml:space="preserve">Припаять панельки 2×15 под Nano на все 30 плат</t>
  </si>
  <si>
    <t xml:space="preserve">17–18 сентября</t>
  </si>
  <si>
    <t xml:space="preserve">Все взрослые</t>
  </si>
  <si>
    <t xml:space="preserve">30 плат × 6 мин = 3 ч на четверых по 45 мин. Снимает 38% работы с учеников</t>
  </si>
  <si>
    <t xml:space="preserve">Включить MQ-7 модули на прогрев на 24–48 ч</t>
  </si>
  <si>
    <t xml:space="preserve">Без прогрева показания CO будут мусором</t>
  </si>
  <si>
    <t xml:space="preserve">Расфасовать комплекты по zip-пакетам с именами учеников</t>
  </si>
  <si>
    <t xml:space="preserve">18 сентября</t>
  </si>
  <si>
    <t xml:space="preserve">Экономит около часа в первый день</t>
  </si>
  <si>
    <t xml:space="preserve">Напечатать инструкции по сборке (30 комплектов)</t>
  </si>
  <si>
    <t xml:space="preserve">Разложить зал: 12 паяльных мест, станция ОТК, 25 мест под ноутбуки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</si>
</sst>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5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5" t="s">
        <v>4</v>
      </c>
      <c r="B6" s="6" t="n">
        <v>25</v>
      </c>
    </row>
    <row r="7" customFormat="false" ht="15" hidden="false" customHeight="false" outlineLevel="0" collapsed="false">
      <c r="A7" s="5" t="s">
        <v>5</v>
      </c>
      <c r="B7" s="6" t="n">
        <v>30</v>
      </c>
    </row>
    <row r="8" customFormat="false" ht="15" hidden="false" customHeight="false" outlineLevel="0" collapsed="false">
      <c r="A8" s="5" t="s">
        <v>6</v>
      </c>
      <c r="B8" s="6" t="n">
        <v>12</v>
      </c>
    </row>
    <row r="9" customFormat="false" ht="15" hidden="false" customHeight="false" outlineLevel="0" collapsed="false">
      <c r="A9" s="5" t="s">
        <v>7</v>
      </c>
      <c r="B9" s="6" t="n">
        <v>2</v>
      </c>
    </row>
    <row r="10" customFormat="false" ht="15" hidden="false" customHeight="false" outlineLevel="0" collapsed="false">
      <c r="A10" s="5" t="s">
        <v>8</v>
      </c>
      <c r="B10" s="6" t="n">
        <v>6.5</v>
      </c>
    </row>
    <row r="12" customFormat="false" ht="30" hidden="false" customHeight="tru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16</v>
      </c>
      <c r="I12" s="7" t="s">
        <v>17</v>
      </c>
      <c r="J12" s="7" t="s">
        <v>18</v>
      </c>
    </row>
    <row r="13" customFormat="false" ht="15" hidden="false" customHeight="false" outlineLevel="0" collapsed="false">
      <c r="A13" s="8" t="s">
        <v>19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23.85" hidden="false" customHeight="false" outlineLevel="0" collapsed="false">
      <c r="A14" s="10" t="n">
        <v>1</v>
      </c>
      <c r="B14" s="10" t="s">
        <v>20</v>
      </c>
      <c r="C14" s="10" t="s">
        <v>21</v>
      </c>
      <c r="D14" s="10" t="s">
        <v>22</v>
      </c>
      <c r="E14" s="10" t="s">
        <v>23</v>
      </c>
      <c r="F14" s="11" t="n">
        <v>30</v>
      </c>
      <c r="G14" s="12" t="n">
        <f aca="false">D14*F14</f>
        <v>30</v>
      </c>
      <c r="H14" s="10" t="s">
        <v>24</v>
      </c>
      <c r="I14" s="10" t="s">
        <v>25</v>
      </c>
      <c r="J14" s="13" t="s">
        <v>26</v>
      </c>
    </row>
    <row r="15" customFormat="false" ht="22.35" hidden="false" customHeight="false" outlineLevel="0" collapsed="false">
      <c r="A15" s="10" t="n">
        <v>2</v>
      </c>
      <c r="B15" s="10" t="s">
        <v>27</v>
      </c>
      <c r="C15" s="10" t="s">
        <v>28</v>
      </c>
      <c r="D15" s="10" t="s">
        <v>22</v>
      </c>
      <c r="E15" s="10" t="s">
        <v>29</v>
      </c>
      <c r="F15" s="11" t="n">
        <v>12.3</v>
      </c>
      <c r="G15" s="12" t="n">
        <f aca="false">D15*F15</f>
        <v>12.3</v>
      </c>
      <c r="H15" s="10" t="s">
        <v>24</v>
      </c>
      <c r="I15" s="10" t="s">
        <v>25</v>
      </c>
      <c r="J15" s="13" t="s">
        <v>30</v>
      </c>
    </row>
    <row r="16" customFormat="false" ht="23.85" hidden="false" customHeight="false" outlineLevel="0" collapsed="false">
      <c r="A16" s="10" t="n">
        <v>3</v>
      </c>
      <c r="B16" s="10" t="s">
        <v>31</v>
      </c>
      <c r="C16" s="10" t="s">
        <v>32</v>
      </c>
      <c r="D16" s="10" t="s">
        <v>22</v>
      </c>
      <c r="E16" s="10" t="s">
        <v>33</v>
      </c>
      <c r="F16" s="11" t="n">
        <v>30.48</v>
      </c>
      <c r="G16" s="12" t="n">
        <f aca="false">D16*F16</f>
        <v>30.48</v>
      </c>
      <c r="H16" s="10" t="s">
        <v>24</v>
      </c>
      <c r="I16" s="10" t="s">
        <v>25</v>
      </c>
      <c r="J16" s="13" t="s">
        <v>34</v>
      </c>
    </row>
    <row r="17" customFormat="false" ht="22.35" hidden="false" customHeight="false" outlineLevel="0" collapsed="false">
      <c r="A17" s="10" t="n">
        <v>4</v>
      </c>
      <c r="B17" s="10" t="s">
        <v>35</v>
      </c>
      <c r="C17" s="10" t="s">
        <v>36</v>
      </c>
      <c r="D17" s="10" t="s">
        <v>22</v>
      </c>
      <c r="E17" s="10" t="s">
        <v>37</v>
      </c>
      <c r="F17" s="11" t="n">
        <v>-20</v>
      </c>
      <c r="G17" s="12" t="n">
        <f aca="false">D17*F17</f>
        <v>-20</v>
      </c>
      <c r="H17" s="10" t="s">
        <v>24</v>
      </c>
      <c r="I17" s="10" t="s">
        <v>25</v>
      </c>
      <c r="J17" s="13" t="s">
        <v>38</v>
      </c>
    </row>
    <row r="18" customFormat="false" ht="15" hidden="false" customHeight="false" outlineLevel="0" collapsed="false">
      <c r="A18" s="14"/>
      <c r="B18" s="15" t="s">
        <v>39</v>
      </c>
      <c r="C18" s="14"/>
      <c r="D18" s="14"/>
      <c r="E18" s="14"/>
      <c r="F18" s="14"/>
      <c r="G18" s="16" t="n">
        <f aca="false">SUM(G14:G17)</f>
        <v>52.78</v>
      </c>
      <c r="H18" s="14"/>
      <c r="I18" s="14"/>
      <c r="J18" s="14"/>
    </row>
    <row r="20" customFormat="false" ht="15" hidden="false" customHeight="false" outlineLevel="0" collapsed="false">
      <c r="A20" s="8" t="s">
        <v>40</v>
      </c>
      <c r="B20" s="9"/>
      <c r="C20" s="9"/>
      <c r="D20" s="9"/>
      <c r="E20" s="9"/>
      <c r="F20" s="9"/>
      <c r="G20" s="9"/>
      <c r="H20" s="9"/>
      <c r="I20" s="9"/>
      <c r="J20" s="9"/>
    </row>
    <row r="21" customFormat="false" ht="23.85" hidden="false" customHeight="false" outlineLevel="0" collapsed="false">
      <c r="A21" s="10" t="n">
        <v>5</v>
      </c>
      <c r="B21" s="10" t="s">
        <v>41</v>
      </c>
      <c r="C21" s="10" t="s">
        <v>42</v>
      </c>
      <c r="D21" s="10" t="n">
        <f aca="false">$B$7+5</f>
        <v>35</v>
      </c>
      <c r="E21" s="10" t="s">
        <v>43</v>
      </c>
      <c r="F21" s="11" t="n">
        <v>4</v>
      </c>
      <c r="G21" s="12" t="n">
        <f aca="false">D21*F21</f>
        <v>140</v>
      </c>
      <c r="H21" s="10" t="s">
        <v>24</v>
      </c>
      <c r="I21" s="10" t="s">
        <v>44</v>
      </c>
      <c r="J21" s="13" t="s">
        <v>45</v>
      </c>
    </row>
    <row r="22" customFormat="false" ht="23.85" hidden="false" customHeight="false" outlineLevel="0" collapsed="false">
      <c r="A22" s="10" t="n">
        <v>6</v>
      </c>
      <c r="B22" s="10" t="s">
        <v>46</v>
      </c>
      <c r="C22" s="10" t="s">
        <v>47</v>
      </c>
      <c r="D22" s="10" t="n">
        <f aca="false">$B$7+5</f>
        <v>35</v>
      </c>
      <c r="E22" s="10" t="s">
        <v>43</v>
      </c>
      <c r="F22" s="11" t="n">
        <v>0.5</v>
      </c>
      <c r="G22" s="12" t="n">
        <f aca="false">D22*F22</f>
        <v>17.5</v>
      </c>
      <c r="H22" s="10" t="s">
        <v>24</v>
      </c>
      <c r="I22" s="10" t="s">
        <v>48</v>
      </c>
      <c r="J22" s="13" t="s">
        <v>49</v>
      </c>
    </row>
    <row r="23" customFormat="false" ht="15" hidden="false" customHeight="false" outlineLevel="0" collapsed="false">
      <c r="A23" s="10" t="n">
        <v>7</v>
      </c>
      <c r="B23" s="10" t="s">
        <v>50</v>
      </c>
      <c r="C23" s="10" t="s">
        <v>51</v>
      </c>
      <c r="D23" s="10" t="s">
        <v>52</v>
      </c>
      <c r="E23" s="10" t="s">
        <v>43</v>
      </c>
      <c r="F23" s="11" t="n">
        <v>0.02</v>
      </c>
      <c r="G23" s="12" t="n">
        <f aca="false">D23*F23</f>
        <v>5</v>
      </c>
      <c r="H23" s="10" t="s">
        <v>24</v>
      </c>
      <c r="I23" s="10" t="s">
        <v>48</v>
      </c>
      <c r="J23" s="13" t="s">
        <v>53</v>
      </c>
    </row>
    <row r="24" customFormat="false" ht="15" hidden="false" customHeight="false" outlineLevel="0" collapsed="false">
      <c r="A24" s="10" t="n">
        <v>8</v>
      </c>
      <c r="B24" s="10" t="s">
        <v>54</v>
      </c>
      <c r="C24" s="10" t="s">
        <v>55</v>
      </c>
      <c r="D24" s="10" t="s">
        <v>56</v>
      </c>
      <c r="E24" s="10" t="s">
        <v>43</v>
      </c>
      <c r="F24" s="11" t="n">
        <v>0.07</v>
      </c>
      <c r="G24" s="12" t="n">
        <f aca="false">D24*F24</f>
        <v>7.7</v>
      </c>
      <c r="H24" s="10" t="s">
        <v>24</v>
      </c>
      <c r="I24" s="10" t="s">
        <v>48</v>
      </c>
      <c r="J24" s="13" t="s">
        <v>57</v>
      </c>
    </row>
    <row r="25" customFormat="false" ht="32.8" hidden="false" customHeight="false" outlineLevel="0" collapsed="false">
      <c r="A25" s="10" t="n">
        <v>9</v>
      </c>
      <c r="B25" s="10" t="s">
        <v>58</v>
      </c>
      <c r="C25" s="10" t="s">
        <v>59</v>
      </c>
      <c r="D25" s="10" t="s">
        <v>60</v>
      </c>
      <c r="E25" s="10" t="s">
        <v>43</v>
      </c>
      <c r="F25" s="11" t="n">
        <v>0.25</v>
      </c>
      <c r="G25" s="12" t="n">
        <f aca="false">D25*F25</f>
        <v>18.75</v>
      </c>
      <c r="H25" s="10" t="s">
        <v>24</v>
      </c>
      <c r="I25" s="10" t="s">
        <v>48</v>
      </c>
      <c r="J25" s="13" t="s">
        <v>61</v>
      </c>
    </row>
    <row r="26" customFormat="false" ht="15" hidden="false" customHeight="false" outlineLevel="0" collapsed="false">
      <c r="A26" s="10" t="n">
        <v>10</v>
      </c>
      <c r="B26" s="10" t="s">
        <v>62</v>
      </c>
      <c r="C26" s="10" t="s">
        <v>63</v>
      </c>
      <c r="D26" s="10" t="s">
        <v>64</v>
      </c>
      <c r="E26" s="10" t="s">
        <v>43</v>
      </c>
      <c r="F26" s="11" t="n">
        <v>0.1</v>
      </c>
      <c r="G26" s="12" t="n">
        <f aca="false">D26*F26</f>
        <v>7</v>
      </c>
      <c r="H26" s="10" t="s">
        <v>24</v>
      </c>
      <c r="I26" s="10" t="s">
        <v>48</v>
      </c>
      <c r="J26" s="13" t="s">
        <v>65</v>
      </c>
    </row>
    <row r="27" customFormat="false" ht="23.85" hidden="false" customHeight="false" outlineLevel="0" collapsed="false">
      <c r="A27" s="10" t="n">
        <v>11</v>
      </c>
      <c r="B27" s="10" t="s">
        <v>66</v>
      </c>
      <c r="C27" s="10" t="s">
        <v>67</v>
      </c>
      <c r="D27" s="10" t="s">
        <v>68</v>
      </c>
      <c r="E27" s="10" t="s">
        <v>43</v>
      </c>
      <c r="F27" s="11" t="n">
        <v>0.3</v>
      </c>
      <c r="G27" s="12" t="n">
        <f aca="false">D27*F27</f>
        <v>4.5</v>
      </c>
      <c r="H27" s="10" t="s">
        <v>24</v>
      </c>
      <c r="I27" s="10" t="s">
        <v>48</v>
      </c>
      <c r="J27" s="13" t="s">
        <v>69</v>
      </c>
    </row>
    <row r="28" customFormat="false" ht="22.35" hidden="false" customHeight="false" outlineLevel="0" collapsed="false">
      <c r="A28" s="10" t="n">
        <v>12</v>
      </c>
      <c r="B28" s="10" t="s">
        <v>70</v>
      </c>
      <c r="C28" s="10" t="s">
        <v>71</v>
      </c>
      <c r="D28" s="10" t="s">
        <v>72</v>
      </c>
      <c r="E28" s="10" t="s">
        <v>43</v>
      </c>
      <c r="F28" s="11" t="n">
        <v>0.3</v>
      </c>
      <c r="G28" s="12" t="n">
        <f aca="false">D28*F28</f>
        <v>10.5</v>
      </c>
      <c r="H28" s="10" t="s">
        <v>24</v>
      </c>
      <c r="I28" s="10" t="s">
        <v>48</v>
      </c>
      <c r="J28" s="13" t="s">
        <v>73</v>
      </c>
    </row>
    <row r="29" customFormat="false" ht="22.35" hidden="false" customHeight="false" outlineLevel="0" collapsed="false">
      <c r="A29" s="10" t="n">
        <v>13</v>
      </c>
      <c r="B29" s="10" t="s">
        <v>74</v>
      </c>
      <c r="C29" s="10" t="s">
        <v>75</v>
      </c>
      <c r="D29" s="10" t="s">
        <v>76</v>
      </c>
      <c r="E29" s="10" t="s">
        <v>43</v>
      </c>
      <c r="F29" s="11" t="n">
        <v>0.05</v>
      </c>
      <c r="G29" s="12" t="n">
        <f aca="false">D29*F29</f>
        <v>2</v>
      </c>
      <c r="H29" s="10" t="s">
        <v>24</v>
      </c>
      <c r="I29" s="10" t="s">
        <v>48</v>
      </c>
      <c r="J29" s="13" t="s">
        <v>77</v>
      </c>
    </row>
    <row r="30" customFormat="false" ht="15" hidden="false" customHeight="false" outlineLevel="0" collapsed="false">
      <c r="A30" s="10" t="n">
        <v>14</v>
      </c>
      <c r="B30" s="10" t="s">
        <v>78</v>
      </c>
      <c r="C30" s="10" t="s">
        <v>79</v>
      </c>
      <c r="D30" s="10" t="s">
        <v>80</v>
      </c>
      <c r="E30" s="10" t="s">
        <v>81</v>
      </c>
      <c r="F30" s="11" t="n">
        <v>0.12</v>
      </c>
      <c r="G30" s="12" t="n">
        <f aca="false">D30*F30</f>
        <v>14.4</v>
      </c>
      <c r="H30" s="10" t="s">
        <v>24</v>
      </c>
      <c r="I30" s="10" t="s">
        <v>48</v>
      </c>
      <c r="J30" s="13" t="s">
        <v>82</v>
      </c>
    </row>
    <row r="31" customFormat="false" ht="15" hidden="false" customHeight="false" outlineLevel="0" collapsed="false">
      <c r="A31" s="14"/>
      <c r="B31" s="15" t="s">
        <v>83</v>
      </c>
      <c r="C31" s="14"/>
      <c r="D31" s="14"/>
      <c r="E31" s="14"/>
      <c r="F31" s="14"/>
      <c r="G31" s="16" t="n">
        <f aca="false">SUM(G21:G30)</f>
        <v>227.35</v>
      </c>
      <c r="H31" s="14"/>
      <c r="I31" s="14"/>
      <c r="J31" s="14"/>
    </row>
    <row r="33" customFormat="false" ht="15" hidden="false" customHeight="false" outlineLevel="0" collapsed="false">
      <c r="A33" s="8" t="s">
        <v>84</v>
      </c>
      <c r="B33" s="9"/>
      <c r="C33" s="9"/>
      <c r="D33" s="9"/>
      <c r="E33" s="9"/>
      <c r="F33" s="9"/>
      <c r="G33" s="9"/>
      <c r="H33" s="9"/>
      <c r="I33" s="9"/>
      <c r="J33" s="9"/>
    </row>
    <row r="34" customFormat="false" ht="22.35" hidden="false" customHeight="false" outlineLevel="0" collapsed="false">
      <c r="A34" s="10" t="n">
        <v>15</v>
      </c>
      <c r="B34" s="10" t="s">
        <v>85</v>
      </c>
      <c r="C34" s="10" t="s">
        <v>86</v>
      </c>
      <c r="D34" s="10" t="n">
        <f aca="false">$B$6+3</f>
        <v>28</v>
      </c>
      <c r="E34" s="10" t="s">
        <v>43</v>
      </c>
      <c r="F34" s="11" t="n">
        <v>4.5</v>
      </c>
      <c r="G34" s="12" t="n">
        <f aca="false">D34*F34</f>
        <v>126</v>
      </c>
      <c r="H34" s="10" t="s">
        <v>24</v>
      </c>
      <c r="I34" s="10" t="s">
        <v>48</v>
      </c>
      <c r="J34" s="13" t="s">
        <v>87</v>
      </c>
    </row>
    <row r="35" customFormat="false" ht="22.35" hidden="false" customHeight="false" outlineLevel="0" collapsed="false">
      <c r="A35" s="10" t="n">
        <v>16</v>
      </c>
      <c r="B35" s="10" t="s">
        <v>88</v>
      </c>
      <c r="C35" s="10" t="s">
        <v>89</v>
      </c>
      <c r="D35" s="10" t="n">
        <f aca="false">$B$6+3</f>
        <v>28</v>
      </c>
      <c r="E35" s="10" t="s">
        <v>43</v>
      </c>
      <c r="F35" s="11" t="n">
        <v>2</v>
      </c>
      <c r="G35" s="12" t="n">
        <f aca="false">D35*F35</f>
        <v>56</v>
      </c>
      <c r="H35" s="10" t="s">
        <v>24</v>
      </c>
      <c r="I35" s="10" t="s">
        <v>48</v>
      </c>
      <c r="J35" s="13" t="s">
        <v>90</v>
      </c>
    </row>
    <row r="36" customFormat="false" ht="22.35" hidden="false" customHeight="false" outlineLevel="0" collapsed="false">
      <c r="A36" s="10" t="n">
        <v>17</v>
      </c>
      <c r="B36" s="10" t="s">
        <v>91</v>
      </c>
      <c r="C36" s="10" t="s">
        <v>92</v>
      </c>
      <c r="D36" s="10" t="n">
        <f aca="false">$B$6+3</f>
        <v>28</v>
      </c>
      <c r="E36" s="10" t="s">
        <v>43</v>
      </c>
      <c r="F36" s="11" t="n">
        <v>3.5</v>
      </c>
      <c r="G36" s="12" t="n">
        <f aca="false">D36*F36</f>
        <v>98</v>
      </c>
      <c r="H36" s="10" t="s">
        <v>24</v>
      </c>
      <c r="I36" s="10" t="s">
        <v>48</v>
      </c>
      <c r="J36" s="13" t="s">
        <v>93</v>
      </c>
    </row>
    <row r="37" customFormat="false" ht="23.85" hidden="false" customHeight="false" outlineLevel="0" collapsed="false">
      <c r="A37" s="10" t="n">
        <v>18</v>
      </c>
      <c r="B37" s="10" t="s">
        <v>94</v>
      </c>
      <c r="C37" s="10" t="s">
        <v>95</v>
      </c>
      <c r="D37" s="10" t="s">
        <v>96</v>
      </c>
      <c r="E37" s="10" t="s">
        <v>97</v>
      </c>
      <c r="F37" s="11" t="n">
        <v>2</v>
      </c>
      <c r="G37" s="12" t="n">
        <f aca="false">D37*F37</f>
        <v>24</v>
      </c>
      <c r="H37" s="10" t="s">
        <v>24</v>
      </c>
      <c r="I37" s="10" t="s">
        <v>48</v>
      </c>
      <c r="J37" s="13" t="s">
        <v>98</v>
      </c>
    </row>
    <row r="38" customFormat="false" ht="15" hidden="false" customHeight="false" outlineLevel="0" collapsed="false">
      <c r="A38" s="14"/>
      <c r="B38" s="15" t="s">
        <v>99</v>
      </c>
      <c r="C38" s="14"/>
      <c r="D38" s="14"/>
      <c r="E38" s="14"/>
      <c r="F38" s="14"/>
      <c r="G38" s="16" t="n">
        <f aca="false">SUM(G34:G37)</f>
        <v>304</v>
      </c>
      <c r="H38" s="14"/>
      <c r="I38" s="14"/>
      <c r="J38" s="14"/>
    </row>
    <row r="40" customFormat="false" ht="15" hidden="false" customHeight="false" outlineLevel="0" collapsed="false">
      <c r="A40" s="8" t="s">
        <v>100</v>
      </c>
      <c r="B40" s="9"/>
      <c r="C40" s="9"/>
      <c r="D40" s="9"/>
      <c r="E40" s="9"/>
      <c r="F40" s="9"/>
      <c r="G40" s="9"/>
      <c r="H40" s="9"/>
      <c r="I40" s="9"/>
      <c r="J40" s="9"/>
    </row>
    <row r="41" customFormat="false" ht="32.8" hidden="false" customHeight="false" outlineLevel="0" collapsed="false">
      <c r="A41" s="10" t="n">
        <v>19</v>
      </c>
      <c r="B41" s="10" t="s">
        <v>101</v>
      </c>
      <c r="C41" s="10" t="s">
        <v>102</v>
      </c>
      <c r="D41" s="10" t="n">
        <f aca="false">$B$6+3</f>
        <v>28</v>
      </c>
      <c r="E41" s="10" t="s">
        <v>81</v>
      </c>
      <c r="F41" s="11" t="n">
        <v>2.5</v>
      </c>
      <c r="G41" s="12" t="n">
        <f aca="false">D41*F41</f>
        <v>70</v>
      </c>
      <c r="H41" s="10" t="s">
        <v>24</v>
      </c>
      <c r="I41" s="10" t="s">
        <v>103</v>
      </c>
      <c r="J41" s="13" t="s">
        <v>104</v>
      </c>
    </row>
    <row r="42" customFormat="false" ht="23.85" hidden="false" customHeight="false" outlineLevel="0" collapsed="false">
      <c r="A42" s="10" t="n">
        <v>20</v>
      </c>
      <c r="B42" s="10" t="s">
        <v>105</v>
      </c>
      <c r="C42" s="10" t="s">
        <v>106</v>
      </c>
      <c r="D42" s="10" t="s">
        <v>107</v>
      </c>
      <c r="E42" s="10" t="s">
        <v>108</v>
      </c>
      <c r="F42" s="11" t="n">
        <v>4</v>
      </c>
      <c r="G42" s="12" t="n">
        <f aca="false">D42*F42</f>
        <v>32</v>
      </c>
      <c r="H42" s="10" t="s">
        <v>24</v>
      </c>
      <c r="I42" s="10" t="s">
        <v>109</v>
      </c>
      <c r="J42" s="13" t="s">
        <v>110</v>
      </c>
    </row>
    <row r="43" customFormat="false" ht="15" hidden="false" customHeight="false" outlineLevel="0" collapsed="false">
      <c r="A43" s="10" t="n">
        <v>21</v>
      </c>
      <c r="B43" s="10" t="s">
        <v>111</v>
      </c>
      <c r="C43" s="10" t="s">
        <v>112</v>
      </c>
      <c r="D43" s="10" t="s">
        <v>113</v>
      </c>
      <c r="E43" s="10" t="s">
        <v>43</v>
      </c>
      <c r="F43" s="11" t="n">
        <v>6</v>
      </c>
      <c r="G43" s="12" t="n">
        <f aca="false">D43*F43</f>
        <v>24</v>
      </c>
      <c r="H43" s="10" t="s">
        <v>24</v>
      </c>
      <c r="I43" s="10" t="s">
        <v>48</v>
      </c>
      <c r="J43" s="13"/>
    </row>
    <row r="44" customFormat="false" ht="15" hidden="false" customHeight="false" outlineLevel="0" collapsed="false">
      <c r="A44" s="10" t="n">
        <v>22</v>
      </c>
      <c r="B44" s="10" t="s">
        <v>114</v>
      </c>
      <c r="C44" s="10" t="s">
        <v>115</v>
      </c>
      <c r="D44" s="10" t="s">
        <v>76</v>
      </c>
      <c r="E44" s="10" t="s">
        <v>43</v>
      </c>
      <c r="F44" s="11" t="n">
        <v>0.15</v>
      </c>
      <c r="G44" s="12" t="n">
        <f aca="false">D44*F44</f>
        <v>6</v>
      </c>
      <c r="H44" s="10" t="s">
        <v>24</v>
      </c>
      <c r="I44" s="10" t="s">
        <v>48</v>
      </c>
      <c r="J44" s="13"/>
    </row>
    <row r="45" customFormat="false" ht="15" hidden="false" customHeight="false" outlineLevel="0" collapsed="false">
      <c r="A45" s="10" t="n">
        <v>23</v>
      </c>
      <c r="B45" s="10" t="s">
        <v>116</v>
      </c>
      <c r="C45" s="10" t="s">
        <v>117</v>
      </c>
      <c r="D45" s="10" t="s">
        <v>118</v>
      </c>
      <c r="E45" s="10" t="s">
        <v>108</v>
      </c>
      <c r="F45" s="11" t="n">
        <v>0.25</v>
      </c>
      <c r="G45" s="12" t="n">
        <f aca="false">D45*F45</f>
        <v>5</v>
      </c>
      <c r="H45" s="10" t="s">
        <v>24</v>
      </c>
      <c r="I45" s="10" t="s">
        <v>48</v>
      </c>
      <c r="J45" s="13"/>
    </row>
    <row r="46" customFormat="false" ht="15" hidden="false" customHeight="false" outlineLevel="0" collapsed="false">
      <c r="A46" s="14"/>
      <c r="B46" s="15" t="s">
        <v>119</v>
      </c>
      <c r="C46" s="14"/>
      <c r="D46" s="14"/>
      <c r="E46" s="14"/>
      <c r="F46" s="14"/>
      <c r="G46" s="16" t="n">
        <f aca="false">SUM(G41:G45)</f>
        <v>137</v>
      </c>
      <c r="H46" s="14"/>
      <c r="I46" s="14"/>
      <c r="J46" s="14"/>
    </row>
    <row r="48" customFormat="false" ht="15" hidden="false" customHeight="false" outlineLevel="0" collapsed="false">
      <c r="A48" s="8" t="s">
        <v>120</v>
      </c>
      <c r="B48" s="9"/>
      <c r="C48" s="9"/>
      <c r="D48" s="9"/>
      <c r="E48" s="9"/>
      <c r="F48" s="9"/>
      <c r="G48" s="9"/>
      <c r="H48" s="9"/>
      <c r="I48" s="9"/>
      <c r="J48" s="9"/>
    </row>
    <row r="49" customFormat="false" ht="32.8" hidden="false" customHeight="false" outlineLevel="0" collapsed="false">
      <c r="A49" s="10" t="n">
        <v>24</v>
      </c>
      <c r="B49" s="10" t="s">
        <v>121</v>
      </c>
      <c r="C49" s="10" t="s">
        <v>122</v>
      </c>
      <c r="D49" s="10" t="n">
        <f aca="false">$B$8</f>
        <v>12</v>
      </c>
      <c r="E49" s="10" t="s">
        <v>43</v>
      </c>
      <c r="F49" s="11" t="n">
        <v>22</v>
      </c>
      <c r="G49" s="12" t="n">
        <f aca="false">D49*F49</f>
        <v>264</v>
      </c>
      <c r="H49" s="10" t="s">
        <v>24</v>
      </c>
      <c r="I49" s="10" t="s">
        <v>48</v>
      </c>
      <c r="J49" s="13" t="s">
        <v>123</v>
      </c>
    </row>
    <row r="50" customFormat="false" ht="15" hidden="false" customHeight="false" outlineLevel="0" collapsed="false">
      <c r="A50" s="10" t="n">
        <v>25</v>
      </c>
      <c r="B50" s="10" t="s">
        <v>124</v>
      </c>
      <c r="C50" s="10" t="s">
        <v>125</v>
      </c>
      <c r="D50" s="10" t="s">
        <v>126</v>
      </c>
      <c r="E50" s="10" t="s">
        <v>43</v>
      </c>
      <c r="F50" s="11" t="n">
        <v>1.5</v>
      </c>
      <c r="G50" s="12" t="n">
        <f aca="false">D50*F50</f>
        <v>36</v>
      </c>
      <c r="H50" s="10" t="s">
        <v>24</v>
      </c>
      <c r="I50" s="10" t="s">
        <v>48</v>
      </c>
      <c r="J50" s="13" t="s">
        <v>127</v>
      </c>
    </row>
    <row r="51" customFormat="false" ht="15" hidden="false" customHeight="false" outlineLevel="0" collapsed="false">
      <c r="A51" s="10" t="n">
        <v>26</v>
      </c>
      <c r="B51" s="10" t="s">
        <v>128</v>
      </c>
      <c r="C51" s="10" t="s">
        <v>129</v>
      </c>
      <c r="D51" s="10" t="n">
        <f aca="false">$B$8</f>
        <v>12</v>
      </c>
      <c r="E51" s="10" t="s">
        <v>43</v>
      </c>
      <c r="F51" s="11" t="n">
        <v>4</v>
      </c>
      <c r="G51" s="12" t="n">
        <f aca="false">D51*F51</f>
        <v>48</v>
      </c>
      <c r="H51" s="10" t="s">
        <v>24</v>
      </c>
      <c r="I51" s="10" t="s">
        <v>48</v>
      </c>
      <c r="J51" s="13"/>
    </row>
    <row r="52" customFormat="false" ht="15" hidden="false" customHeight="false" outlineLevel="0" collapsed="false">
      <c r="A52" s="10" t="n">
        <v>27</v>
      </c>
      <c r="B52" s="10" t="s">
        <v>130</v>
      </c>
      <c r="C52" s="10" t="s">
        <v>131</v>
      </c>
      <c r="D52" s="10" t="n">
        <f aca="false">$B$8</f>
        <v>12</v>
      </c>
      <c r="E52" s="10" t="s">
        <v>43</v>
      </c>
      <c r="F52" s="11" t="n">
        <v>4</v>
      </c>
      <c r="G52" s="12" t="n">
        <f aca="false">D52*F52</f>
        <v>48</v>
      </c>
      <c r="H52" s="10" t="s">
        <v>24</v>
      </c>
      <c r="I52" s="10" t="s">
        <v>48</v>
      </c>
      <c r="J52" s="13" t="s">
        <v>132</v>
      </c>
    </row>
    <row r="53" customFormat="false" ht="15" hidden="false" customHeight="false" outlineLevel="0" collapsed="false">
      <c r="A53" s="10" t="n">
        <v>28</v>
      </c>
      <c r="B53" s="10" t="s">
        <v>133</v>
      </c>
      <c r="C53" s="10" t="s">
        <v>134</v>
      </c>
      <c r="D53" s="10" t="n">
        <f aca="false">$B$8</f>
        <v>12</v>
      </c>
      <c r="E53" s="10" t="s">
        <v>43</v>
      </c>
      <c r="F53" s="11" t="n">
        <v>2.5</v>
      </c>
      <c r="G53" s="12" t="n">
        <f aca="false">D53*F53</f>
        <v>30</v>
      </c>
      <c r="H53" s="10" t="s">
        <v>24</v>
      </c>
      <c r="I53" s="10" t="s">
        <v>48</v>
      </c>
      <c r="J53" s="13"/>
    </row>
    <row r="54" customFormat="false" ht="15" hidden="false" customHeight="false" outlineLevel="0" collapsed="false">
      <c r="A54" s="10" t="n">
        <v>29</v>
      </c>
      <c r="B54" s="10" t="s">
        <v>135</v>
      </c>
      <c r="C54" s="10" t="s">
        <v>136</v>
      </c>
      <c r="D54" s="10" t="n">
        <f aca="false">$B$8</f>
        <v>12</v>
      </c>
      <c r="E54" s="10" t="s">
        <v>43</v>
      </c>
      <c r="F54" s="11" t="n">
        <v>1.5</v>
      </c>
      <c r="G54" s="12" t="n">
        <f aca="false">D54*F54</f>
        <v>18</v>
      </c>
      <c r="H54" s="10" t="s">
        <v>24</v>
      </c>
      <c r="I54" s="10" t="s">
        <v>48</v>
      </c>
      <c r="J54" s="13"/>
    </row>
    <row r="55" customFormat="false" ht="15" hidden="false" customHeight="false" outlineLevel="0" collapsed="false">
      <c r="A55" s="10" t="n">
        <v>30</v>
      </c>
      <c r="B55" s="10" t="s">
        <v>137</v>
      </c>
      <c r="C55" s="10" t="s">
        <v>138</v>
      </c>
      <c r="D55" s="10" t="s">
        <v>139</v>
      </c>
      <c r="E55" s="10" t="s">
        <v>43</v>
      </c>
      <c r="F55" s="11" t="n">
        <v>3</v>
      </c>
      <c r="G55" s="12" t="n">
        <f aca="false">D55*F55</f>
        <v>18</v>
      </c>
      <c r="H55" s="10" t="s">
        <v>24</v>
      </c>
      <c r="I55" s="10" t="s">
        <v>48</v>
      </c>
      <c r="J55" s="13"/>
    </row>
    <row r="56" customFormat="false" ht="15" hidden="false" customHeight="false" outlineLevel="0" collapsed="false">
      <c r="A56" s="14"/>
      <c r="B56" s="15" t="s">
        <v>140</v>
      </c>
      <c r="C56" s="14"/>
      <c r="D56" s="14"/>
      <c r="E56" s="14"/>
      <c r="F56" s="14"/>
      <c r="G56" s="16" t="n">
        <f aca="false">SUM(G49:G55)</f>
        <v>462</v>
      </c>
      <c r="H56" s="14"/>
      <c r="I56" s="14"/>
      <c r="J56" s="14"/>
    </row>
    <row r="58" customFormat="false" ht="15" hidden="false" customHeight="false" outlineLevel="0" collapsed="false">
      <c r="A58" s="8" t="s">
        <v>141</v>
      </c>
      <c r="B58" s="9"/>
      <c r="C58" s="9"/>
      <c r="D58" s="9"/>
      <c r="E58" s="9"/>
      <c r="F58" s="9"/>
      <c r="G58" s="9"/>
      <c r="H58" s="9"/>
      <c r="I58" s="9"/>
      <c r="J58" s="9"/>
    </row>
    <row r="59" customFormat="false" ht="23.85" hidden="false" customHeight="false" outlineLevel="0" collapsed="false">
      <c r="A59" s="10" t="n">
        <v>31</v>
      </c>
      <c r="B59" s="10" t="s">
        <v>142</v>
      </c>
      <c r="C59" s="10" t="s">
        <v>143</v>
      </c>
      <c r="D59" s="10" t="s">
        <v>144</v>
      </c>
      <c r="E59" s="10" t="s">
        <v>145</v>
      </c>
      <c r="F59" s="11" t="n">
        <v>8</v>
      </c>
      <c r="G59" s="12" t="n">
        <f aca="false">D59*F59</f>
        <v>24</v>
      </c>
      <c r="H59" s="10" t="s">
        <v>24</v>
      </c>
      <c r="I59" s="10" t="s">
        <v>48</v>
      </c>
      <c r="J59" s="13" t="s">
        <v>146</v>
      </c>
    </row>
    <row r="60" customFormat="false" ht="15" hidden="false" customHeight="false" outlineLevel="0" collapsed="false">
      <c r="A60" s="10" t="n">
        <v>32</v>
      </c>
      <c r="B60" s="10" t="s">
        <v>147</v>
      </c>
      <c r="C60" s="10" t="s">
        <v>148</v>
      </c>
      <c r="D60" s="10" t="s">
        <v>139</v>
      </c>
      <c r="E60" s="10" t="s">
        <v>43</v>
      </c>
      <c r="F60" s="11" t="n">
        <v>2</v>
      </c>
      <c r="G60" s="12" t="n">
        <f aca="false">D60*F60</f>
        <v>12</v>
      </c>
      <c r="H60" s="10" t="s">
        <v>24</v>
      </c>
      <c r="I60" s="10" t="s">
        <v>48</v>
      </c>
      <c r="J60" s="13"/>
    </row>
    <row r="61" customFormat="false" ht="15" hidden="false" customHeight="false" outlineLevel="0" collapsed="false">
      <c r="A61" s="10" t="n">
        <v>33</v>
      </c>
      <c r="B61" s="10" t="s">
        <v>149</v>
      </c>
      <c r="C61" s="10" t="s">
        <v>150</v>
      </c>
      <c r="D61" s="10" t="s">
        <v>139</v>
      </c>
      <c r="E61" s="10" t="s">
        <v>43</v>
      </c>
      <c r="F61" s="11" t="n">
        <v>2</v>
      </c>
      <c r="G61" s="12" t="n">
        <f aca="false">D61*F61</f>
        <v>12</v>
      </c>
      <c r="H61" s="10" t="s">
        <v>24</v>
      </c>
      <c r="I61" s="10" t="s">
        <v>48</v>
      </c>
      <c r="J61" s="13" t="s">
        <v>151</v>
      </c>
    </row>
    <row r="62" customFormat="false" ht="15" hidden="false" customHeight="false" outlineLevel="0" collapsed="false">
      <c r="A62" s="10" t="n">
        <v>34</v>
      </c>
      <c r="B62" s="10" t="s">
        <v>152</v>
      </c>
      <c r="C62" s="10" t="s">
        <v>153</v>
      </c>
      <c r="D62" s="10" t="s">
        <v>113</v>
      </c>
      <c r="E62" s="10" t="s">
        <v>43</v>
      </c>
      <c r="F62" s="11" t="n">
        <v>4</v>
      </c>
      <c r="G62" s="12" t="n">
        <f aca="false">D62*F62</f>
        <v>16</v>
      </c>
      <c r="H62" s="10" t="s">
        <v>24</v>
      </c>
      <c r="I62" s="10" t="s">
        <v>48</v>
      </c>
      <c r="J62" s="13"/>
    </row>
    <row r="63" customFormat="false" ht="15" hidden="false" customHeight="false" outlineLevel="0" collapsed="false">
      <c r="A63" s="10" t="n">
        <v>35</v>
      </c>
      <c r="B63" s="10" t="s">
        <v>154</v>
      </c>
      <c r="C63" s="10" t="s">
        <v>155</v>
      </c>
      <c r="D63" s="10" t="s">
        <v>156</v>
      </c>
      <c r="E63" s="10" t="s">
        <v>81</v>
      </c>
      <c r="F63" s="11" t="n">
        <v>6</v>
      </c>
      <c r="G63" s="12" t="n">
        <f aca="false">D63*F63</f>
        <v>12</v>
      </c>
      <c r="H63" s="10" t="s">
        <v>24</v>
      </c>
      <c r="I63" s="10" t="s">
        <v>48</v>
      </c>
      <c r="J63" s="13"/>
    </row>
    <row r="64" customFormat="false" ht="15" hidden="false" customHeight="false" outlineLevel="0" collapsed="false">
      <c r="A64" s="10" t="n">
        <v>36</v>
      </c>
      <c r="B64" s="10" t="s">
        <v>157</v>
      </c>
      <c r="C64" s="10" t="s">
        <v>158</v>
      </c>
      <c r="D64" s="10" t="s">
        <v>156</v>
      </c>
      <c r="E64" s="10" t="s">
        <v>159</v>
      </c>
      <c r="F64" s="11" t="n">
        <v>2.5</v>
      </c>
      <c r="G64" s="12" t="n">
        <f aca="false">D64*F64</f>
        <v>5</v>
      </c>
      <c r="H64" s="10" t="s">
        <v>24</v>
      </c>
      <c r="I64" s="10" t="s">
        <v>48</v>
      </c>
      <c r="J64" s="13"/>
    </row>
    <row r="65" customFormat="false" ht="15" hidden="false" customHeight="false" outlineLevel="0" collapsed="false">
      <c r="A65" s="10" t="n">
        <v>37</v>
      </c>
      <c r="B65" s="10" t="s">
        <v>160</v>
      </c>
      <c r="C65" s="10" t="s">
        <v>161</v>
      </c>
      <c r="D65" s="10" t="s">
        <v>162</v>
      </c>
      <c r="E65" s="10" t="s">
        <v>43</v>
      </c>
      <c r="F65" s="11" t="n">
        <v>0.6</v>
      </c>
      <c r="G65" s="12" t="n">
        <f aca="false">D65*F65</f>
        <v>15</v>
      </c>
      <c r="H65" s="10" t="s">
        <v>24</v>
      </c>
      <c r="I65" s="10" t="s">
        <v>48</v>
      </c>
      <c r="J65" s="13" t="s">
        <v>163</v>
      </c>
    </row>
    <row r="66" customFormat="false" ht="15" hidden="false" customHeight="false" outlineLevel="0" collapsed="false">
      <c r="A66" s="10" t="n">
        <v>38</v>
      </c>
      <c r="B66" s="10" t="s">
        <v>164</v>
      </c>
      <c r="C66" s="10" t="s">
        <v>165</v>
      </c>
      <c r="D66" s="10" t="s">
        <v>162</v>
      </c>
      <c r="E66" s="10" t="s">
        <v>97</v>
      </c>
      <c r="F66" s="11" t="n">
        <v>1.5</v>
      </c>
      <c r="G66" s="12" t="n">
        <f aca="false">D66*F66</f>
        <v>37.5</v>
      </c>
      <c r="H66" s="10" t="s">
        <v>24</v>
      </c>
      <c r="I66" s="10" t="s">
        <v>166</v>
      </c>
      <c r="J66" s="13" t="s">
        <v>167</v>
      </c>
    </row>
    <row r="67" customFormat="false" ht="15" hidden="false" customHeight="false" outlineLevel="0" collapsed="false">
      <c r="A67" s="14"/>
      <c r="B67" s="15" t="s">
        <v>168</v>
      </c>
      <c r="C67" s="14"/>
      <c r="D67" s="14"/>
      <c r="E67" s="14"/>
      <c r="F67" s="14"/>
      <c r="G67" s="16" t="n">
        <f aca="false">SUM(G59:G66)</f>
        <v>133.5</v>
      </c>
      <c r="H67" s="14"/>
      <c r="I67" s="14"/>
      <c r="J67" s="14"/>
    </row>
    <row r="69" customFormat="false" ht="15" hidden="false" customHeight="false" outlineLevel="0" collapsed="false">
      <c r="A69" s="8" t="s">
        <v>169</v>
      </c>
      <c r="B69" s="9"/>
      <c r="C69" s="9"/>
      <c r="D69" s="9"/>
      <c r="E69" s="9"/>
      <c r="F69" s="9"/>
      <c r="G69" s="9"/>
      <c r="H69" s="9"/>
      <c r="I69" s="9"/>
      <c r="J69" s="9"/>
    </row>
    <row r="70" customFormat="false" ht="32.8" hidden="false" customHeight="false" outlineLevel="0" collapsed="false">
      <c r="A70" s="10" t="n">
        <v>39</v>
      </c>
      <c r="B70" s="10" t="s">
        <v>170</v>
      </c>
      <c r="C70" s="10" t="s">
        <v>171</v>
      </c>
      <c r="D70" s="10" t="s">
        <v>172</v>
      </c>
      <c r="E70" s="10" t="s">
        <v>43</v>
      </c>
      <c r="F70" s="11" t="n">
        <v>12</v>
      </c>
      <c r="G70" s="12" t="n">
        <f aca="false">D70*F70</f>
        <v>60</v>
      </c>
      <c r="H70" s="10" t="s">
        <v>24</v>
      </c>
      <c r="I70" s="10" t="s">
        <v>48</v>
      </c>
      <c r="J70" s="13" t="s">
        <v>173</v>
      </c>
    </row>
    <row r="71" customFormat="false" ht="15" hidden="false" customHeight="false" outlineLevel="0" collapsed="false">
      <c r="A71" s="10" t="n">
        <v>40</v>
      </c>
      <c r="B71" s="10" t="s">
        <v>174</v>
      </c>
      <c r="C71" s="10" t="s">
        <v>175</v>
      </c>
      <c r="D71" s="10" t="s">
        <v>144</v>
      </c>
      <c r="E71" s="10" t="s">
        <v>43</v>
      </c>
      <c r="F71" s="11" t="n">
        <v>6</v>
      </c>
      <c r="G71" s="12" t="n">
        <f aca="false">D71*F71</f>
        <v>18</v>
      </c>
      <c r="H71" s="10" t="s">
        <v>24</v>
      </c>
      <c r="I71" s="10" t="s">
        <v>48</v>
      </c>
      <c r="J71" s="13"/>
    </row>
    <row r="72" customFormat="false" ht="15" hidden="false" customHeight="false" outlineLevel="0" collapsed="false">
      <c r="A72" s="10" t="n">
        <v>41</v>
      </c>
      <c r="B72" s="10" t="s">
        <v>176</v>
      </c>
      <c r="C72" s="10" t="s">
        <v>177</v>
      </c>
      <c r="D72" s="10" t="s">
        <v>113</v>
      </c>
      <c r="E72" s="10" t="s">
        <v>43</v>
      </c>
      <c r="F72" s="11" t="n">
        <v>8</v>
      </c>
      <c r="G72" s="12" t="n">
        <f aca="false">D72*F72</f>
        <v>32</v>
      </c>
      <c r="H72" s="10" t="s">
        <v>24</v>
      </c>
      <c r="I72" s="10" t="s">
        <v>48</v>
      </c>
      <c r="J72" s="13" t="s">
        <v>178</v>
      </c>
    </row>
    <row r="73" customFormat="false" ht="15" hidden="false" customHeight="false" outlineLevel="0" collapsed="false">
      <c r="A73" s="10" t="n">
        <v>42</v>
      </c>
      <c r="B73" s="10" t="s">
        <v>179</v>
      </c>
      <c r="C73" s="10" t="s">
        <v>180</v>
      </c>
      <c r="D73" s="10" t="s">
        <v>156</v>
      </c>
      <c r="E73" s="10" t="s">
        <v>43</v>
      </c>
      <c r="F73" s="11" t="n">
        <v>15</v>
      </c>
      <c r="G73" s="12" t="n">
        <f aca="false">D73*F73</f>
        <v>30</v>
      </c>
      <c r="H73" s="10" t="s">
        <v>24</v>
      </c>
      <c r="I73" s="10" t="s">
        <v>48</v>
      </c>
      <c r="J73" s="13"/>
    </row>
    <row r="74" customFormat="false" ht="15" hidden="false" customHeight="false" outlineLevel="0" collapsed="false">
      <c r="A74" s="14"/>
      <c r="B74" s="15" t="s">
        <v>181</v>
      </c>
      <c r="C74" s="14"/>
      <c r="D74" s="14"/>
      <c r="E74" s="14"/>
      <c r="F74" s="14"/>
      <c r="G74" s="16" t="n">
        <f aca="false">SUM(G70:G73)</f>
        <v>140</v>
      </c>
      <c r="H74" s="14"/>
      <c r="I74" s="14"/>
      <c r="J74" s="14"/>
    </row>
    <row r="76" customFormat="false" ht="15" hidden="false" customHeight="false" outlineLevel="0" collapsed="false">
      <c r="A76" s="8" t="s">
        <v>182</v>
      </c>
      <c r="B76" s="9"/>
      <c r="C76" s="9"/>
      <c r="D76" s="9"/>
      <c r="E76" s="9"/>
      <c r="F76" s="9"/>
      <c r="G76" s="9"/>
      <c r="H76" s="9"/>
      <c r="I76" s="9"/>
      <c r="J76" s="9"/>
    </row>
    <row r="77" customFormat="false" ht="22.35" hidden="false" customHeight="false" outlineLevel="0" collapsed="false">
      <c r="A77" s="10" t="n">
        <v>43</v>
      </c>
      <c r="B77" s="10" t="s">
        <v>183</v>
      </c>
      <c r="C77" s="10" t="s">
        <v>184</v>
      </c>
      <c r="D77" s="10" t="n">
        <f aca="false">$B$6</f>
        <v>25</v>
      </c>
      <c r="E77" s="10" t="s">
        <v>43</v>
      </c>
      <c r="F77" s="11" t="n">
        <v>1199</v>
      </c>
      <c r="G77" s="12" t="n">
        <f aca="false">D77*F77</f>
        <v>29975</v>
      </c>
      <c r="H77" s="10" t="s">
        <v>185</v>
      </c>
      <c r="I77" s="10" t="s">
        <v>186</v>
      </c>
      <c r="J77" s="13" t="s">
        <v>187</v>
      </c>
    </row>
    <row r="78" customFormat="false" ht="23.85" hidden="false" customHeight="false" outlineLevel="0" collapsed="false">
      <c r="A78" s="10" t="n">
        <v>44</v>
      </c>
      <c r="B78" s="10" t="s">
        <v>188</v>
      </c>
      <c r="C78" s="10" t="s">
        <v>189</v>
      </c>
      <c r="D78" s="10" t="n">
        <f aca="false">$B$6</f>
        <v>25</v>
      </c>
      <c r="E78" s="10" t="s">
        <v>43</v>
      </c>
      <c r="F78" s="11" t="n">
        <v>4</v>
      </c>
      <c r="G78" s="12" t="n">
        <f aca="false">D78*F78</f>
        <v>100</v>
      </c>
      <c r="H78" s="10" t="s">
        <v>24</v>
      </c>
      <c r="I78" s="10" t="s">
        <v>48</v>
      </c>
      <c r="J78" s="13" t="s">
        <v>190</v>
      </c>
    </row>
    <row r="79" customFormat="false" ht="22.35" hidden="false" customHeight="false" outlineLevel="0" collapsed="false">
      <c r="A79" s="10" t="n">
        <v>45</v>
      </c>
      <c r="B79" s="10" t="s">
        <v>191</v>
      </c>
      <c r="C79" s="10" t="s">
        <v>192</v>
      </c>
      <c r="D79" s="10" t="n">
        <f aca="false">$B$7</f>
        <v>30</v>
      </c>
      <c r="E79" s="10" t="s">
        <v>43</v>
      </c>
      <c r="F79" s="11" t="n">
        <v>1.5</v>
      </c>
      <c r="G79" s="12" t="n">
        <f aca="false">D79*F79</f>
        <v>45</v>
      </c>
      <c r="H79" s="10" t="s">
        <v>24</v>
      </c>
      <c r="I79" s="10" t="s">
        <v>48</v>
      </c>
      <c r="J79" s="13" t="s">
        <v>193</v>
      </c>
    </row>
    <row r="80" customFormat="false" ht="15" hidden="false" customHeight="false" outlineLevel="0" collapsed="false">
      <c r="A80" s="10" t="n">
        <v>46</v>
      </c>
      <c r="B80" s="10" t="s">
        <v>194</v>
      </c>
      <c r="C80" s="10" t="s">
        <v>195</v>
      </c>
      <c r="D80" s="10" t="s">
        <v>113</v>
      </c>
      <c r="E80" s="10" t="s">
        <v>43</v>
      </c>
      <c r="F80" s="11" t="n">
        <v>10</v>
      </c>
      <c r="G80" s="12" t="n">
        <f aca="false">D80*F80</f>
        <v>40</v>
      </c>
      <c r="H80" s="10" t="s">
        <v>24</v>
      </c>
      <c r="I80" s="10" t="s">
        <v>48</v>
      </c>
      <c r="J80" s="13"/>
    </row>
    <row r="81" customFormat="false" ht="15" hidden="false" customHeight="false" outlineLevel="0" collapsed="false">
      <c r="A81" s="10" t="n">
        <v>47</v>
      </c>
      <c r="B81" s="10" t="s">
        <v>196</v>
      </c>
      <c r="C81" s="10" t="s">
        <v>197</v>
      </c>
      <c r="D81" s="10" t="s">
        <v>22</v>
      </c>
      <c r="E81" s="10" t="s">
        <v>43</v>
      </c>
      <c r="F81" s="11" t="n">
        <v>0</v>
      </c>
      <c r="G81" s="12" t="n">
        <f aca="false">D81*F81</f>
        <v>0</v>
      </c>
      <c r="H81" s="10" t="s">
        <v>198</v>
      </c>
      <c r="I81" s="10" t="s">
        <v>186</v>
      </c>
      <c r="J81" s="13" t="s">
        <v>199</v>
      </c>
    </row>
    <row r="82" customFormat="false" ht="15" hidden="false" customHeight="false" outlineLevel="0" collapsed="false">
      <c r="A82" s="14"/>
      <c r="B82" s="15" t="s">
        <v>200</v>
      </c>
      <c r="C82" s="14"/>
      <c r="D82" s="14"/>
      <c r="E82" s="14"/>
      <c r="F82" s="14"/>
      <c r="G82" s="16" t="n">
        <f aca="false">SUM(G77:G81)</f>
        <v>30160</v>
      </c>
      <c r="H82" s="14"/>
      <c r="I82" s="14"/>
      <c r="J82" s="14"/>
    </row>
    <row r="84" customFormat="false" ht="15" hidden="false" customHeight="false" outlineLevel="0" collapsed="false">
      <c r="A84" s="8" t="s">
        <v>201</v>
      </c>
      <c r="B84" s="9"/>
      <c r="C84" s="9"/>
      <c r="D84" s="9"/>
      <c r="E84" s="9"/>
      <c r="F84" s="9"/>
      <c r="G84" s="9"/>
      <c r="H84" s="9"/>
      <c r="I84" s="9"/>
      <c r="J84" s="9"/>
    </row>
    <row r="85" customFormat="false" ht="23.85" hidden="false" customHeight="false" outlineLevel="0" collapsed="false">
      <c r="A85" s="10" t="n">
        <v>48</v>
      </c>
      <c r="B85" s="10" t="s">
        <v>202</v>
      </c>
      <c r="C85" s="10" t="s">
        <v>203</v>
      </c>
      <c r="D85" s="10" t="s">
        <v>113</v>
      </c>
      <c r="E85" s="10" t="s">
        <v>43</v>
      </c>
      <c r="F85" s="11" t="n">
        <v>18</v>
      </c>
      <c r="G85" s="12" t="n">
        <f aca="false">D85*F85</f>
        <v>72</v>
      </c>
      <c r="H85" s="10" t="s">
        <v>24</v>
      </c>
      <c r="I85" s="10" t="s">
        <v>48</v>
      </c>
      <c r="J85" s="13" t="s">
        <v>204</v>
      </c>
    </row>
    <row r="86" customFormat="false" ht="15" hidden="false" customHeight="false" outlineLevel="0" collapsed="false">
      <c r="A86" s="10" t="n">
        <v>49</v>
      </c>
      <c r="B86" s="10" t="s">
        <v>205</v>
      </c>
      <c r="C86" s="10" t="s">
        <v>115</v>
      </c>
      <c r="D86" s="10" t="s">
        <v>107</v>
      </c>
      <c r="E86" s="10" t="s">
        <v>43</v>
      </c>
      <c r="F86" s="11" t="n">
        <v>2</v>
      </c>
      <c r="G86" s="12" t="n">
        <f aca="false">D86*F86</f>
        <v>16</v>
      </c>
      <c r="H86" s="10" t="s">
        <v>24</v>
      </c>
      <c r="I86" s="10" t="s">
        <v>48</v>
      </c>
      <c r="J86" s="13"/>
    </row>
    <row r="87" customFormat="false" ht="15" hidden="false" customHeight="false" outlineLevel="0" collapsed="false">
      <c r="A87" s="10" t="n">
        <v>50</v>
      </c>
      <c r="B87" s="10" t="s">
        <v>206</v>
      </c>
      <c r="C87" s="10" t="s">
        <v>207</v>
      </c>
      <c r="D87" s="10" t="s">
        <v>208</v>
      </c>
      <c r="E87" s="10" t="s">
        <v>43</v>
      </c>
      <c r="F87" s="11" t="n">
        <v>1.5</v>
      </c>
      <c r="G87" s="12" t="n">
        <f aca="false">D87*F87</f>
        <v>45</v>
      </c>
      <c r="H87" s="10" t="s">
        <v>24</v>
      </c>
      <c r="I87" s="10" t="s">
        <v>48</v>
      </c>
      <c r="J87" s="13" t="s">
        <v>209</v>
      </c>
    </row>
    <row r="88" customFormat="false" ht="15" hidden="false" customHeight="false" outlineLevel="0" collapsed="false">
      <c r="A88" s="10" t="n">
        <v>51</v>
      </c>
      <c r="B88" s="10" t="s">
        <v>210</v>
      </c>
      <c r="C88" s="10" t="s">
        <v>211</v>
      </c>
      <c r="D88" s="10" t="s">
        <v>22</v>
      </c>
      <c r="E88" s="10" t="s">
        <v>81</v>
      </c>
      <c r="F88" s="11" t="n">
        <v>25</v>
      </c>
      <c r="G88" s="12" t="n">
        <f aca="false">D88*F88</f>
        <v>25</v>
      </c>
      <c r="H88" s="10" t="s">
        <v>24</v>
      </c>
      <c r="I88" s="10" t="s">
        <v>212</v>
      </c>
      <c r="J88" s="13"/>
    </row>
    <row r="89" customFormat="false" ht="15" hidden="false" customHeight="false" outlineLevel="0" collapsed="false">
      <c r="A89" s="10" t="n">
        <v>52</v>
      </c>
      <c r="B89" s="10" t="s">
        <v>213</v>
      </c>
      <c r="C89" s="10" t="s">
        <v>214</v>
      </c>
      <c r="D89" s="10" t="s">
        <v>22</v>
      </c>
      <c r="E89" s="10" t="s">
        <v>43</v>
      </c>
      <c r="F89" s="11" t="n">
        <v>35</v>
      </c>
      <c r="G89" s="12" t="n">
        <f aca="false">D89*F89</f>
        <v>35</v>
      </c>
      <c r="H89" s="10" t="s">
        <v>198</v>
      </c>
      <c r="I89" s="10" t="s">
        <v>186</v>
      </c>
      <c r="J89" s="13" t="s">
        <v>215</v>
      </c>
    </row>
    <row r="90" customFormat="false" ht="15" hidden="false" customHeight="false" outlineLevel="0" collapsed="false">
      <c r="A90" s="14"/>
      <c r="B90" s="15" t="s">
        <v>216</v>
      </c>
      <c r="C90" s="14"/>
      <c r="D90" s="14"/>
      <c r="E90" s="14"/>
      <c r="F90" s="14"/>
      <c r="G90" s="16" t="n">
        <f aca="false">SUM(G85:G89)</f>
        <v>193</v>
      </c>
      <c r="H90" s="14"/>
      <c r="I90" s="14"/>
      <c r="J90" s="14"/>
    </row>
    <row r="92" customFormat="false" ht="15" hidden="false" customHeight="false" outlineLevel="0" collapsed="false">
      <c r="A92" s="8" t="s">
        <v>217</v>
      </c>
      <c r="B92" s="9"/>
      <c r="C92" s="9"/>
      <c r="D92" s="9"/>
      <c r="E92" s="9"/>
      <c r="F92" s="9"/>
      <c r="G92" s="9"/>
      <c r="H92" s="9"/>
      <c r="I92" s="9"/>
      <c r="J92" s="9"/>
    </row>
    <row r="93" customFormat="false" ht="15" hidden="false" customHeight="false" outlineLevel="0" collapsed="false">
      <c r="A93" s="10" t="n">
        <v>53</v>
      </c>
      <c r="B93" s="10" t="s">
        <v>218</v>
      </c>
      <c r="C93" s="10" t="s">
        <v>219</v>
      </c>
      <c r="D93" s="10" t="s">
        <v>208</v>
      </c>
      <c r="E93" s="10" t="s">
        <v>81</v>
      </c>
      <c r="F93" s="11" t="n">
        <v>0.6</v>
      </c>
      <c r="G93" s="12" t="n">
        <f aca="false">D93*F93</f>
        <v>18</v>
      </c>
      <c r="H93" s="10" t="s">
        <v>24</v>
      </c>
      <c r="I93" s="10" t="s">
        <v>220</v>
      </c>
      <c r="J93" s="13" t="s">
        <v>221</v>
      </c>
    </row>
    <row r="94" customFormat="false" ht="15" hidden="false" customHeight="false" outlineLevel="0" collapsed="false">
      <c r="A94" s="10" t="n">
        <v>54</v>
      </c>
      <c r="B94" s="10" t="s">
        <v>222</v>
      </c>
      <c r="C94" s="10" t="s">
        <v>223</v>
      </c>
      <c r="D94" s="10" t="s">
        <v>224</v>
      </c>
      <c r="E94" s="10" t="s">
        <v>43</v>
      </c>
      <c r="F94" s="11" t="n">
        <v>0.15</v>
      </c>
      <c r="G94" s="12" t="n">
        <f aca="false">D94*F94</f>
        <v>9</v>
      </c>
      <c r="H94" s="10" t="s">
        <v>24</v>
      </c>
      <c r="I94" s="10" t="s">
        <v>48</v>
      </c>
      <c r="J94" s="13" t="s">
        <v>225</v>
      </c>
    </row>
    <row r="95" customFormat="false" ht="15" hidden="false" customHeight="false" outlineLevel="0" collapsed="false">
      <c r="A95" s="10" t="n">
        <v>55</v>
      </c>
      <c r="B95" s="10" t="s">
        <v>226</v>
      </c>
      <c r="C95" s="10" t="s">
        <v>227</v>
      </c>
      <c r="D95" s="10" t="s">
        <v>156</v>
      </c>
      <c r="E95" s="10" t="s">
        <v>108</v>
      </c>
      <c r="F95" s="11" t="n">
        <v>1.5</v>
      </c>
      <c r="G95" s="12" t="n">
        <f aca="false">D95*F95</f>
        <v>3</v>
      </c>
      <c r="H95" s="10" t="s">
        <v>24</v>
      </c>
      <c r="I95" s="10" t="s">
        <v>48</v>
      </c>
      <c r="J95" s="13"/>
    </row>
    <row r="96" customFormat="false" ht="15" hidden="false" customHeight="false" outlineLevel="0" collapsed="false">
      <c r="A96" s="10" t="n">
        <v>56</v>
      </c>
      <c r="B96" s="10" t="s">
        <v>228</v>
      </c>
      <c r="C96" s="10" t="s">
        <v>229</v>
      </c>
      <c r="D96" s="10" t="s">
        <v>139</v>
      </c>
      <c r="E96" s="10" t="s">
        <v>43</v>
      </c>
      <c r="F96" s="11" t="n">
        <v>3</v>
      </c>
      <c r="G96" s="12" t="n">
        <f aca="false">D96*F96</f>
        <v>18</v>
      </c>
      <c r="H96" s="10" t="s">
        <v>24</v>
      </c>
      <c r="I96" s="10" t="s">
        <v>48</v>
      </c>
      <c r="J96" s="13"/>
    </row>
    <row r="97" customFormat="false" ht="15" hidden="false" customHeight="false" outlineLevel="0" collapsed="false">
      <c r="A97" s="10" t="n">
        <v>57</v>
      </c>
      <c r="B97" s="10" t="s">
        <v>230</v>
      </c>
      <c r="C97" s="10" t="s">
        <v>231</v>
      </c>
      <c r="D97" s="10" t="s">
        <v>22</v>
      </c>
      <c r="E97" s="10" t="s">
        <v>81</v>
      </c>
      <c r="F97" s="11" t="n">
        <v>15</v>
      </c>
      <c r="G97" s="12" t="n">
        <f aca="false">D97*F97</f>
        <v>15</v>
      </c>
      <c r="H97" s="10" t="s">
        <v>24</v>
      </c>
      <c r="I97" s="10" t="s">
        <v>48</v>
      </c>
      <c r="J97" s="13"/>
    </row>
    <row r="98" customFormat="false" ht="15" hidden="false" customHeight="false" outlineLevel="0" collapsed="false">
      <c r="A98" s="14"/>
      <c r="B98" s="15" t="s">
        <v>232</v>
      </c>
      <c r="C98" s="14"/>
      <c r="D98" s="14"/>
      <c r="E98" s="14"/>
      <c r="F98" s="14"/>
      <c r="G98" s="16" t="n">
        <f aca="false">SUM(G93:G97)</f>
        <v>63</v>
      </c>
      <c r="H98" s="14"/>
      <c r="I98" s="14"/>
      <c r="J98" s="14"/>
    </row>
    <row r="101" customFormat="false" ht="15" hidden="false" customHeight="false" outlineLevel="0" collapsed="false">
      <c r="A101" s="17"/>
      <c r="B101" s="18" t="s">
        <v>233</v>
      </c>
      <c r="C101" s="17"/>
      <c r="D101" s="17"/>
      <c r="E101" s="17"/>
      <c r="F101" s="17"/>
      <c r="G101" s="19" t="n">
        <f aca="false">SUMIF(H14:H98,"Купить",G14:G98)</f>
        <v>1862.63</v>
      </c>
      <c r="H101" s="17"/>
      <c r="I101" s="17"/>
      <c r="J101" s="17"/>
    </row>
    <row r="102" customFormat="false" ht="15" hidden="false" customHeight="false" outlineLevel="0" collapsed="false">
      <c r="A102" s="14"/>
      <c r="B102" s="15" t="s">
        <v>234</v>
      </c>
      <c r="C102" s="14"/>
      <c r="D102" s="14"/>
      <c r="E102" s="14"/>
      <c r="F102" s="14"/>
      <c r="G102" s="16" t="n">
        <f aca="false">G101/$B$6</f>
        <v>74.5052</v>
      </c>
      <c r="H102" s="14"/>
      <c r="I102" s="14"/>
      <c r="J102" s="14"/>
    </row>
    <row r="103" customFormat="false" ht="15" hidden="false" customHeight="false" outlineLevel="0" collapsed="false">
      <c r="A103" s="20"/>
      <c r="B103" s="21" t="s">
        <v>235</v>
      </c>
      <c r="C103" s="20"/>
      <c r="D103" s="20"/>
      <c r="E103" s="20"/>
      <c r="F103" s="20"/>
      <c r="G103" s="22" t="n">
        <f aca="false">SUMIF(H14:H98,"Есть",G14:G98)</f>
        <v>29975</v>
      </c>
      <c r="H103" s="20"/>
      <c r="I103" s="20"/>
      <c r="J103" s="20"/>
    </row>
    <row r="104" customFormat="false" ht="15" hidden="false" customHeight="false" outlineLevel="0" collapsed="false">
      <c r="A104" s="17"/>
      <c r="B104" s="18" t="s">
        <v>236</v>
      </c>
      <c r="C104" s="17"/>
      <c r="D104" s="17"/>
      <c r="E104" s="17"/>
      <c r="F104" s="17"/>
      <c r="G104" s="19" t="n">
        <f aca="false">G101+G103</f>
        <v>31837.63</v>
      </c>
      <c r="H104" s="17"/>
      <c r="I104" s="17"/>
      <c r="J104" s="17"/>
    </row>
    <row r="106" customFormat="false" ht="15" hidden="false" customHeight="false" outlineLevel="0" collapsed="false">
      <c r="B106" s="2" t="s">
        <v>237</v>
      </c>
    </row>
    <row r="107" customFormat="false" ht="15" hidden="false" customHeight="false" outlineLevel="0" collapsed="false">
      <c r="B107" s="2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3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23" t="s">
        <v>239</v>
      </c>
    </row>
    <row r="3" customFormat="false" ht="15" hidden="false" customHeight="false" outlineLevel="0" collapsed="false">
      <c r="A3" s="3" t="s">
        <v>240</v>
      </c>
      <c r="B3" s="4"/>
      <c r="C3" s="4"/>
      <c r="D3" s="4"/>
      <c r="E3" s="4"/>
    </row>
    <row r="4" customFormat="false" ht="15" hidden="false" customHeight="false" outlineLevel="0" collapsed="false">
      <c r="A4" s="24" t="s">
        <v>241</v>
      </c>
      <c r="B4" s="24" t="s">
        <v>242</v>
      </c>
      <c r="C4" s="24" t="s">
        <v>243</v>
      </c>
      <c r="D4" s="24" t="s">
        <v>244</v>
      </c>
    </row>
    <row r="5" customFormat="false" ht="23.85" hidden="false" customHeight="false" outlineLevel="0" collapsed="false">
      <c r="A5" s="10" t="s">
        <v>245</v>
      </c>
      <c r="B5" s="25" t="s">
        <v>246</v>
      </c>
      <c r="C5" s="10" t="s">
        <v>247</v>
      </c>
      <c r="D5" s="13"/>
    </row>
    <row r="6" customFormat="false" ht="23.85" hidden="false" customHeight="false" outlineLevel="0" collapsed="false">
      <c r="A6" s="10" t="s">
        <v>248</v>
      </c>
      <c r="B6" s="25" t="s">
        <v>208</v>
      </c>
      <c r="C6" s="10" t="s">
        <v>249</v>
      </c>
      <c r="D6" s="13" t="s">
        <v>250</v>
      </c>
    </row>
    <row r="7" customFormat="false" ht="23.85" hidden="false" customHeight="false" outlineLevel="0" collapsed="false">
      <c r="A7" s="10" t="s">
        <v>251</v>
      </c>
      <c r="B7" s="25" t="s">
        <v>252</v>
      </c>
      <c r="C7" s="10" t="s">
        <v>253</v>
      </c>
      <c r="D7" s="13"/>
    </row>
    <row r="8" customFormat="false" ht="23.85" hidden="false" customHeight="false" outlineLevel="0" collapsed="false">
      <c r="A8" s="10" t="s">
        <v>254</v>
      </c>
      <c r="B8" s="25" t="s">
        <v>255</v>
      </c>
      <c r="C8" s="10" t="s">
        <v>256</v>
      </c>
      <c r="D8" s="13"/>
    </row>
    <row r="9" customFormat="false" ht="15" hidden="false" customHeight="false" outlineLevel="0" collapsed="false">
      <c r="A9" s="10" t="s">
        <v>257</v>
      </c>
      <c r="B9" s="25" t="s">
        <v>258</v>
      </c>
      <c r="C9" s="10" t="s">
        <v>259</v>
      </c>
      <c r="D9" s="13" t="s">
        <v>260</v>
      </c>
    </row>
    <row r="10" customFormat="false" ht="23.85" hidden="false" customHeight="false" outlineLevel="0" collapsed="false">
      <c r="A10" s="10" t="s">
        <v>261</v>
      </c>
      <c r="B10" s="25" t="s">
        <v>262</v>
      </c>
      <c r="C10" s="10" t="s">
        <v>263</v>
      </c>
      <c r="D10" s="13"/>
    </row>
    <row r="11" customFormat="false" ht="23.85" hidden="false" customHeight="false" outlineLevel="0" collapsed="false">
      <c r="A11" s="10" t="s">
        <v>6</v>
      </c>
      <c r="B11" s="25" t="s">
        <v>96</v>
      </c>
      <c r="C11" s="10" t="s">
        <v>264</v>
      </c>
      <c r="D11" s="13" t="s">
        <v>265</v>
      </c>
    </row>
    <row r="12" customFormat="false" ht="23.85" hidden="false" customHeight="false" outlineLevel="0" collapsed="false">
      <c r="A12" s="10" t="s">
        <v>266</v>
      </c>
      <c r="B12" s="25" t="s">
        <v>267</v>
      </c>
      <c r="C12" s="10" t="s">
        <v>268</v>
      </c>
      <c r="D12" s="13" t="s">
        <v>269</v>
      </c>
    </row>
    <row r="14" customFormat="false" ht="15" hidden="false" customHeight="false" outlineLevel="0" collapsed="false">
      <c r="A14" s="3" t="s">
        <v>270</v>
      </c>
      <c r="B14" s="4"/>
      <c r="C14" s="4"/>
      <c r="D14" s="4"/>
      <c r="E14" s="4"/>
    </row>
    <row r="15" customFormat="false" ht="15" hidden="false" customHeight="false" outlineLevel="0" collapsed="false">
      <c r="A15" s="24" t="s">
        <v>271</v>
      </c>
      <c r="B15" s="24" t="s">
        <v>272</v>
      </c>
      <c r="C15" s="24" t="s">
        <v>273</v>
      </c>
      <c r="D15" s="24" t="s">
        <v>274</v>
      </c>
    </row>
    <row r="16" customFormat="false" ht="23.85" hidden="false" customHeight="false" outlineLevel="0" collapsed="false">
      <c r="A16" s="25" t="s">
        <v>275</v>
      </c>
      <c r="B16" s="10" t="s">
        <v>276</v>
      </c>
      <c r="C16" s="10" t="s">
        <v>277</v>
      </c>
      <c r="D16" s="10" t="s">
        <v>278</v>
      </c>
    </row>
    <row r="17" customFormat="false" ht="23.85" hidden="false" customHeight="false" outlineLevel="0" collapsed="false">
      <c r="A17" s="25" t="s">
        <v>279</v>
      </c>
      <c r="B17" s="10" t="s">
        <v>280</v>
      </c>
      <c r="C17" s="10" t="s">
        <v>281</v>
      </c>
      <c r="D17" s="10" t="s">
        <v>282</v>
      </c>
    </row>
    <row r="18" customFormat="false" ht="15" hidden="false" customHeight="false" outlineLevel="0" collapsed="false">
      <c r="A18" s="25" t="s">
        <v>283</v>
      </c>
      <c r="B18" s="10" t="s">
        <v>284</v>
      </c>
      <c r="C18" s="10" t="s">
        <v>285</v>
      </c>
      <c r="D18" s="10" t="s">
        <v>282</v>
      </c>
    </row>
    <row r="19" customFormat="false" ht="23.85" hidden="false" customHeight="false" outlineLevel="0" collapsed="false">
      <c r="A19" s="25" t="s">
        <v>286</v>
      </c>
      <c r="B19" s="10" t="s">
        <v>287</v>
      </c>
      <c r="C19" s="10" t="s">
        <v>288</v>
      </c>
      <c r="D19" s="10" t="s">
        <v>289</v>
      </c>
    </row>
    <row r="21" customFormat="false" ht="31.5" hidden="false" customHeight="true" outlineLevel="0" collapsed="false">
      <c r="A21" s="26" t="s">
        <v>290</v>
      </c>
      <c r="B21" s="26"/>
      <c r="C21" s="26"/>
      <c r="D21" s="26"/>
      <c r="E21" s="26"/>
    </row>
    <row r="23" customFormat="false" ht="15" hidden="false" customHeight="false" outlineLevel="0" collapsed="false">
      <c r="A23" s="3" t="s">
        <v>291</v>
      </c>
      <c r="B23" s="4"/>
      <c r="C23" s="4"/>
      <c r="D23" s="4"/>
      <c r="E23" s="4"/>
    </row>
    <row r="24" customFormat="false" ht="15" hidden="false" customHeight="false" outlineLevel="0" collapsed="false">
      <c r="A24" s="24" t="s">
        <v>292</v>
      </c>
      <c r="B24" s="24" t="s">
        <v>271</v>
      </c>
      <c r="C24" s="24" t="s">
        <v>293</v>
      </c>
      <c r="D24" s="24" t="s">
        <v>294</v>
      </c>
    </row>
    <row r="25" customFormat="false" ht="35.05" hidden="false" customHeight="false" outlineLevel="0" collapsed="false">
      <c r="A25" s="25" t="s">
        <v>295</v>
      </c>
      <c r="B25" s="10" t="s">
        <v>296</v>
      </c>
      <c r="C25" s="10" t="s">
        <v>297</v>
      </c>
      <c r="D25" s="10" t="s">
        <v>186</v>
      </c>
    </row>
    <row r="26" customFormat="false" ht="23.85" hidden="false" customHeight="false" outlineLevel="0" collapsed="false">
      <c r="A26" s="25" t="s">
        <v>298</v>
      </c>
      <c r="B26" s="10" t="s">
        <v>296</v>
      </c>
      <c r="C26" s="10" t="s">
        <v>299</v>
      </c>
      <c r="D26" s="10" t="s">
        <v>186</v>
      </c>
    </row>
    <row r="27" customFormat="false" ht="23.85" hidden="false" customHeight="false" outlineLevel="0" collapsed="false">
      <c r="A27" s="25" t="s">
        <v>300</v>
      </c>
      <c r="B27" s="10" t="s">
        <v>301</v>
      </c>
      <c r="C27" s="10" t="s">
        <v>302</v>
      </c>
      <c r="D27" s="10" t="s">
        <v>303</v>
      </c>
    </row>
    <row r="28" customFormat="false" ht="15" hidden="false" customHeight="false" outlineLevel="0" collapsed="false">
      <c r="A28" s="25" t="s">
        <v>304</v>
      </c>
      <c r="B28" s="10" t="s">
        <v>296</v>
      </c>
      <c r="C28" s="10" t="s">
        <v>305</v>
      </c>
      <c r="D28" s="10" t="s">
        <v>186</v>
      </c>
    </row>
    <row r="29" customFormat="false" ht="23.85" hidden="false" customHeight="false" outlineLevel="0" collapsed="false">
      <c r="A29" s="25" t="s">
        <v>306</v>
      </c>
      <c r="B29" s="10" t="s">
        <v>307</v>
      </c>
      <c r="C29" s="10" t="s">
        <v>308</v>
      </c>
      <c r="D29" s="10" t="s">
        <v>309</v>
      </c>
    </row>
    <row r="30" customFormat="false" ht="23.85" hidden="false" customHeight="false" outlineLevel="0" collapsed="false">
      <c r="A30" s="25" t="s">
        <v>310</v>
      </c>
      <c r="B30" s="10" t="s">
        <v>296</v>
      </c>
      <c r="C30" s="10" t="s">
        <v>311</v>
      </c>
      <c r="D30" s="10" t="s">
        <v>186</v>
      </c>
    </row>
    <row r="32" customFormat="false" ht="15" hidden="false" customHeight="false" outlineLevel="0" collapsed="false">
      <c r="A32" s="3" t="s">
        <v>312</v>
      </c>
      <c r="B32" s="4"/>
      <c r="C32" s="4"/>
      <c r="D32" s="4"/>
      <c r="E32" s="4"/>
    </row>
    <row r="33" customFormat="false" ht="15" hidden="false" customHeight="false" outlineLevel="0" collapsed="false">
      <c r="A33" s="24" t="s">
        <v>292</v>
      </c>
      <c r="B33" s="24" t="s">
        <v>271</v>
      </c>
      <c r="C33" s="24" t="s">
        <v>293</v>
      </c>
      <c r="D33" s="24" t="s">
        <v>294</v>
      </c>
    </row>
    <row r="34" customFormat="false" ht="23.85" hidden="false" customHeight="false" outlineLevel="0" collapsed="false">
      <c r="A34" s="25" t="s">
        <v>313</v>
      </c>
      <c r="B34" s="10" t="s">
        <v>296</v>
      </c>
      <c r="C34" s="10" t="s">
        <v>314</v>
      </c>
      <c r="D34" s="10" t="s">
        <v>315</v>
      </c>
    </row>
    <row r="35" customFormat="false" ht="35.05" hidden="false" customHeight="false" outlineLevel="0" collapsed="false">
      <c r="A35" s="25" t="s">
        <v>316</v>
      </c>
      <c r="B35" s="10" t="s">
        <v>296</v>
      </c>
      <c r="C35" s="10" t="s">
        <v>317</v>
      </c>
      <c r="D35" s="10" t="s">
        <v>318</v>
      </c>
    </row>
    <row r="36" customFormat="false" ht="15" hidden="false" customHeight="false" outlineLevel="0" collapsed="false">
      <c r="A36" s="25" t="s">
        <v>319</v>
      </c>
      <c r="B36" s="10" t="s">
        <v>296</v>
      </c>
      <c r="C36" s="10" t="s">
        <v>320</v>
      </c>
      <c r="D36" s="10" t="s">
        <v>186</v>
      </c>
    </row>
    <row r="37" customFormat="false" ht="23.85" hidden="false" customHeight="false" outlineLevel="0" collapsed="false">
      <c r="A37" s="25" t="s">
        <v>321</v>
      </c>
      <c r="B37" s="10" t="s">
        <v>296</v>
      </c>
      <c r="C37" s="10" t="s">
        <v>322</v>
      </c>
      <c r="D37" s="10" t="s">
        <v>323</v>
      </c>
    </row>
    <row r="38" customFormat="false" ht="15" hidden="false" customHeight="false" outlineLevel="0" collapsed="false">
      <c r="A38" s="25" t="s">
        <v>324</v>
      </c>
      <c r="B38" s="10" t="s">
        <v>296</v>
      </c>
      <c r="C38" s="10" t="s">
        <v>305</v>
      </c>
      <c r="D38" s="10" t="s">
        <v>186</v>
      </c>
    </row>
    <row r="39" customFormat="false" ht="23.85" hidden="false" customHeight="false" outlineLevel="0" collapsed="false">
      <c r="A39" s="25" t="s">
        <v>325</v>
      </c>
      <c r="B39" s="10" t="s">
        <v>296</v>
      </c>
      <c r="C39" s="10" t="s">
        <v>326</v>
      </c>
      <c r="D39" s="10" t="s">
        <v>186</v>
      </c>
    </row>
    <row r="40" customFormat="false" ht="23.85" hidden="false" customHeight="false" outlineLevel="0" collapsed="false">
      <c r="A40" s="25" t="s">
        <v>327</v>
      </c>
      <c r="B40" s="10" t="s">
        <v>296</v>
      </c>
      <c r="C40" s="10" t="s">
        <v>328</v>
      </c>
      <c r="D40" s="10" t="s">
        <v>186</v>
      </c>
    </row>
  </sheetData>
  <mergeCells count="1"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23" t="s">
        <v>329</v>
      </c>
    </row>
    <row r="2" customFormat="false" ht="15" hidden="false" customHeight="false" outlineLevel="0" collapsed="false">
      <c r="A2" s="2" t="s">
        <v>330</v>
      </c>
    </row>
    <row r="4" customFormat="false" ht="15" hidden="false" customHeight="false" outlineLevel="0" collapsed="false">
      <c r="A4" s="27" t="s">
        <v>9</v>
      </c>
      <c r="B4" s="27" t="s">
        <v>331</v>
      </c>
      <c r="C4" s="27" t="s">
        <v>332</v>
      </c>
      <c r="D4" s="27" t="s">
        <v>271</v>
      </c>
      <c r="E4" s="27" t="s">
        <v>333</v>
      </c>
    </row>
    <row r="5" customFormat="false" ht="23.85" hidden="false" customHeight="false" outlineLevel="0" collapsed="false">
      <c r="A5" s="10" t="n">
        <v>1</v>
      </c>
      <c r="B5" s="10" t="s">
        <v>334</v>
      </c>
      <c r="C5" s="25" t="s">
        <v>335</v>
      </c>
      <c r="D5" s="10" t="s">
        <v>336</v>
      </c>
      <c r="E5" s="13" t="s">
        <v>337</v>
      </c>
    </row>
    <row r="6" customFormat="false" ht="22.35" hidden="false" customHeight="false" outlineLevel="0" collapsed="false">
      <c r="A6" s="10" t="n">
        <v>2</v>
      </c>
      <c r="B6" s="10" t="s">
        <v>338</v>
      </c>
      <c r="C6" s="25" t="s">
        <v>335</v>
      </c>
      <c r="D6" s="10" t="s">
        <v>336</v>
      </c>
      <c r="E6" s="13" t="s">
        <v>339</v>
      </c>
    </row>
    <row r="7" customFormat="false" ht="23.85" hidden="false" customHeight="false" outlineLevel="0" collapsed="false">
      <c r="A7" s="10" t="n">
        <v>3</v>
      </c>
      <c r="B7" s="10" t="s">
        <v>340</v>
      </c>
      <c r="C7" s="25" t="s">
        <v>335</v>
      </c>
      <c r="D7" s="10" t="s">
        <v>336</v>
      </c>
      <c r="E7" s="13" t="s">
        <v>341</v>
      </c>
    </row>
    <row r="8" customFormat="false" ht="23.85" hidden="false" customHeight="false" outlineLevel="0" collapsed="false">
      <c r="A8" s="10" t="n">
        <v>4</v>
      </c>
      <c r="B8" s="10" t="s">
        <v>342</v>
      </c>
      <c r="C8" s="25" t="s">
        <v>335</v>
      </c>
      <c r="D8" s="10" t="s">
        <v>336</v>
      </c>
      <c r="E8" s="13" t="s">
        <v>343</v>
      </c>
    </row>
    <row r="9" customFormat="false" ht="15" hidden="false" customHeight="false" outlineLevel="0" collapsed="false">
      <c r="A9" s="28" t="n">
        <v>5</v>
      </c>
      <c r="B9" s="28" t="s">
        <v>344</v>
      </c>
      <c r="C9" s="26" t="s">
        <v>335</v>
      </c>
      <c r="D9" s="28" t="s">
        <v>336</v>
      </c>
      <c r="E9" s="29" t="s">
        <v>345</v>
      </c>
    </row>
    <row r="10" customFormat="false" ht="23.85" hidden="false" customHeight="false" outlineLevel="0" collapsed="false">
      <c r="A10" s="10" t="n">
        <v>6</v>
      </c>
      <c r="B10" s="10" t="s">
        <v>346</v>
      </c>
      <c r="C10" s="25" t="s">
        <v>347</v>
      </c>
      <c r="D10" s="10" t="s">
        <v>336</v>
      </c>
      <c r="E10" s="13" t="s">
        <v>348</v>
      </c>
    </row>
    <row r="11" customFormat="false" ht="23.85" hidden="false" customHeight="false" outlineLevel="0" collapsed="false">
      <c r="A11" s="10" t="n">
        <v>7</v>
      </c>
      <c r="B11" s="10" t="s">
        <v>349</v>
      </c>
      <c r="C11" s="25" t="s">
        <v>347</v>
      </c>
      <c r="D11" s="10" t="s">
        <v>336</v>
      </c>
      <c r="E11" s="13" t="s">
        <v>350</v>
      </c>
    </row>
    <row r="12" customFormat="false" ht="22.35" hidden="false" customHeight="false" outlineLevel="0" collapsed="false">
      <c r="A12" s="10" t="n">
        <v>8</v>
      </c>
      <c r="B12" s="10" t="s">
        <v>351</v>
      </c>
      <c r="C12" s="25" t="s">
        <v>352</v>
      </c>
      <c r="D12" s="10" t="s">
        <v>336</v>
      </c>
      <c r="E12" s="13" t="s">
        <v>353</v>
      </c>
    </row>
    <row r="13" customFormat="false" ht="23.85" hidden="false" customHeight="false" outlineLevel="0" collapsed="false">
      <c r="A13" s="10" t="n">
        <v>9</v>
      </c>
      <c r="B13" s="10" t="s">
        <v>354</v>
      </c>
      <c r="C13" s="25" t="s">
        <v>352</v>
      </c>
      <c r="D13" s="10" t="s">
        <v>336</v>
      </c>
      <c r="E13" s="13" t="s">
        <v>355</v>
      </c>
    </row>
    <row r="14" customFormat="false" ht="15" hidden="false" customHeight="false" outlineLevel="0" collapsed="false">
      <c r="A14" s="10" t="n">
        <v>10</v>
      </c>
      <c r="B14" s="10" t="s">
        <v>356</v>
      </c>
      <c r="C14" s="25" t="s">
        <v>357</v>
      </c>
      <c r="D14" s="10" t="s">
        <v>336</v>
      </c>
      <c r="E14" s="13" t="s">
        <v>358</v>
      </c>
    </row>
    <row r="15" customFormat="false" ht="15" hidden="false" customHeight="false" outlineLevel="0" collapsed="false">
      <c r="A15" s="10" t="n">
        <v>11</v>
      </c>
      <c r="B15" s="10" t="s">
        <v>359</v>
      </c>
      <c r="C15" s="25" t="s">
        <v>357</v>
      </c>
      <c r="D15" s="10" t="s">
        <v>336</v>
      </c>
      <c r="E15" s="13" t="s">
        <v>360</v>
      </c>
    </row>
    <row r="16" customFormat="false" ht="22.35" hidden="false" customHeight="false" outlineLevel="0" collapsed="false">
      <c r="A16" s="10" t="n">
        <v>12</v>
      </c>
      <c r="B16" s="10" t="s">
        <v>361</v>
      </c>
      <c r="C16" s="25" t="s">
        <v>357</v>
      </c>
      <c r="D16" s="10" t="s">
        <v>336</v>
      </c>
      <c r="E16" s="13" t="s">
        <v>362</v>
      </c>
    </row>
    <row r="17" customFormat="false" ht="15" hidden="false" customHeight="false" outlineLevel="0" collapsed="false">
      <c r="A17" s="10" t="n">
        <v>13</v>
      </c>
      <c r="B17" s="10" t="s">
        <v>363</v>
      </c>
      <c r="C17" s="25" t="s">
        <v>364</v>
      </c>
      <c r="D17" s="10" t="s">
        <v>336</v>
      </c>
      <c r="E17" s="13" t="s">
        <v>365</v>
      </c>
    </row>
    <row r="18" customFormat="false" ht="15" hidden="false" customHeight="false" outlineLevel="0" collapsed="false">
      <c r="A18" s="10" t="n">
        <v>14</v>
      </c>
      <c r="B18" s="10" t="s">
        <v>366</v>
      </c>
      <c r="C18" s="25" t="s">
        <v>367</v>
      </c>
      <c r="D18" s="10" t="s">
        <v>336</v>
      </c>
      <c r="E18" s="13"/>
    </row>
    <row r="19" customFormat="false" ht="15" hidden="false" customHeight="false" outlineLevel="0" collapsed="false">
      <c r="A19" s="10" t="n">
        <v>15</v>
      </c>
      <c r="B19" s="10" t="s">
        <v>368</v>
      </c>
      <c r="C19" s="25" t="s">
        <v>369</v>
      </c>
      <c r="D19" s="10" t="s">
        <v>336</v>
      </c>
      <c r="E19" s="13" t="s">
        <v>370</v>
      </c>
    </row>
    <row r="20" customFormat="false" ht="22.35" hidden="false" customHeight="false" outlineLevel="0" collapsed="false">
      <c r="A20" s="10" t="n">
        <v>16</v>
      </c>
      <c r="B20" s="10" t="s">
        <v>371</v>
      </c>
      <c r="C20" s="25" t="s">
        <v>372</v>
      </c>
      <c r="D20" s="10" t="s">
        <v>373</v>
      </c>
      <c r="E20" s="13" t="s">
        <v>374</v>
      </c>
    </row>
    <row r="21" customFormat="false" ht="15" hidden="false" customHeight="false" outlineLevel="0" collapsed="false">
      <c r="A21" s="10" t="n">
        <v>17</v>
      </c>
      <c r="B21" s="10" t="s">
        <v>375</v>
      </c>
      <c r="C21" s="25" t="s">
        <v>372</v>
      </c>
      <c r="D21" s="10" t="s">
        <v>336</v>
      </c>
      <c r="E21" s="13" t="s">
        <v>376</v>
      </c>
    </row>
    <row r="22" customFormat="false" ht="15" hidden="false" customHeight="false" outlineLevel="0" collapsed="false">
      <c r="A22" s="10" t="n">
        <v>18</v>
      </c>
      <c r="B22" s="10" t="s">
        <v>377</v>
      </c>
      <c r="C22" s="25" t="s">
        <v>378</v>
      </c>
      <c r="D22" s="10" t="s">
        <v>373</v>
      </c>
      <c r="E22" s="13" t="s">
        <v>379</v>
      </c>
    </row>
    <row r="23" customFormat="false" ht="15" hidden="false" customHeight="false" outlineLevel="0" collapsed="false">
      <c r="A23" s="10" t="n">
        <v>19</v>
      </c>
      <c r="B23" s="10" t="s">
        <v>380</v>
      </c>
      <c r="C23" s="25" t="s">
        <v>378</v>
      </c>
      <c r="D23" s="10" t="s">
        <v>336</v>
      </c>
      <c r="E23" s="13"/>
    </row>
    <row r="24" customFormat="false" ht="23.85" hidden="false" customHeight="false" outlineLevel="0" collapsed="false">
      <c r="A24" s="10" t="n">
        <v>20</v>
      </c>
      <c r="B24" s="10" t="s">
        <v>381</v>
      </c>
      <c r="C24" s="25" t="s">
        <v>378</v>
      </c>
      <c r="D24" s="10" t="s">
        <v>373</v>
      </c>
      <c r="E2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2026-09-09T04:47:04Z</dcterms:created>
  <dc:creator>openpyxl</dc:creator>
  <dc:description/>
  <dc:language>en-US</dc:language>
  <cp:lastModifiedBy/>
  <dcterms:modified xsi:type="dcterms:W3CDTF">2026-09-09T04:48:12Z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